
<file path=[Content_Types].xml><?xml version="1.0" encoding="utf-8"?>
<Types xmlns="http://schemas.openxmlformats.org/package/2006/content-types">
  <Default Extension="xml" ContentType="application/vnd.openxmlformats-officedocument.spreadsheetml.sheet.main+xml"/>
  <Default Extension="vml" ContentType="application/vnd.openxmlformats-officedocument.vmlDrawi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comments1.xml" ContentType="application/vnd.openxmlformats-officedocument.spreadsheetml.comments+xml"/>
  <Override PartName="/xl/threadedcomments/threadedcomment.xml" ContentType="application/vnd.ms-excel.threaded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comments2.xml" ContentType="application/vnd.openxmlformats-officedocument.spreadsheetml.comments+xml"/>
  <Override PartName="/xl/threadedcomments/threadedcomment2.xml" ContentType="application/vnd.ms-excel.threadedcomments+xml"/>
  <Override PartName="/xl/worksheets/sheet8.xml" ContentType="application/vnd.openxmlformats-officedocument.spreadsheetml.worksheet+xml"/>
  <Override PartName="/xl/worksheets/sheet9.xml" ContentType="application/vnd.openxmlformats-officedocument.spreadsheetml.worksheet+xml"/>
  <Override PartName="/xl/persons/person.xml" ContentType="application/vnd.ms-excel.person+xml"/>
</Types>
</file>

<file path=_rels/.rels>&#65279;<?xml version="1.0" encoding="utf-8"?><Relationships xmlns="http://schemas.openxmlformats.org/package/2006/relationships"><Relationship Type="http://schemas.openxmlformats.org/officeDocument/2006/relationships/officeDocument" Target="/xl/workbook.xml" Id="R0a089df16b52438b" /></Relationships>
</file>

<file path=xl/workbook.xml><?xml version="1.0" encoding="utf-8"?>
<x:workbook xmlns:x="http://schemas.openxmlformats.org/spreadsheetml/2006/main">
  <x:sheets>
    <x:sheet xmlns:r="http://schemas.openxmlformats.org/officeDocument/2006/relationships" name="Review &amp; Reconciliation" sheetId="1" r:id="R2802c800a85448ce"/>
    <x:sheet xmlns:r="http://schemas.openxmlformats.org/officeDocument/2006/relationships" name="KPI Calculations" sheetId="2" r:id="R9bee63ad33b34e45"/>
    <x:sheet xmlns:r="http://schemas.openxmlformats.org/officeDocument/2006/relationships" name="Category Analysis" sheetId="3" r:id="R09d6c754c14d4e39"/>
    <x:sheet xmlns:r="http://schemas.openxmlformats.org/officeDocument/2006/relationships" name="Hourly Analysis" sheetId="4" r:id="R684c8af6f5b840d0"/>
    <x:sheet xmlns:r="http://schemas.openxmlformats.org/officeDocument/2006/relationships" name="Amount Analysis" sheetId="5" r:id="Rb9c15ac184dc42a5"/>
    <x:sheet xmlns:r="http://schemas.openxmlformats.org/officeDocument/2006/relationships" name="State Analysis" sheetId="6" r:id="Rb9739d07b7364d00"/>
    <x:sheet xmlns:r="http://schemas.openxmlformats.org/officeDocument/2006/relationships" name="Merchant Median Check" sheetId="7" r:id="Rca4c4cd944ed44ce"/>
    <x:sheet xmlns:r="http://schemas.openxmlformats.org/officeDocument/2006/relationships" name="Merchant Matrix" sheetId="8" r:id="Rd2949912e8d3421c"/>
    <x:sheet xmlns:r="http://schemas.openxmlformats.org/officeDocument/2006/relationships" name="Source &amp; Definitions" sheetId="9" r:id="Ra1303b9d767b4e2b"/>
  </x:sheets>
</x:workbook>
</file>

<file path=xl/comments1.xml><?xml version="1.0" encoding="utf-8"?>
<x:comments xmlns:x="http://schemas.openxmlformats.org/spreadsheetml/2006/main">
  <x:authors>
    <x:author>tc={58951A26-B3E0-8BA0-F132-4225091082C4}</x:author>
  </x:authors>
  <x:commentList>
    <x:comment ref="B21" authorId="0">
      <x:text>
        <x:r>
          <x:t>[Threaded comment]
Your version of Excel allows you to read this threaded comment; however, any edits to it will get removed if the file is opened in a newer version of Excel. Learn more: https://go.microsoft.com/fwlink/?linkid=870924
Comment:
    Repository source used for all recalculations: https://github.com/pankhuri1002/credit-card-fraud-analytics/blob/main/data/raw/cc_data_dec19.csv</x:t>
        </x:r>
      </x:text>
    </x:comment>
  </x:commentList>
</x:comments>
</file>

<file path=xl/comments2.xml><?xml version="1.0" encoding="utf-8"?>
<x:comments xmlns:x="http://schemas.openxmlformats.org/spreadsheetml/2006/main">
  <x:authors>
    <x:author>tc={15D4490A-A72A-713B-DD08-A6B7E228B1AD}</x:author>
  </x:authors>
  <x:commentList>
    <x:comment ref="B12" authorId="0">
      <x:text>
        <x:r>
          <x:t>[Threaded comment]
Your version of Excel allows you to read this threaded comment; however, any edits to it will get removed if the file is opened in a newer version of Excel. Learn more: https://go.microsoft.com/fwlink/?linkid=870924
Comment:
    Correct median uses only the 516 merchants that meet the matrix threshold of at least 50 transactions.</x:t>
        </x:r>
      </x:text>
    </x:comment>
  </x:commentList>
</x:comments>
</file>

<file path=xl/sharedStrings.xml><?xml version="1.0" encoding="utf-8"?>
<x:sst xmlns:x="http://schemas.openxmlformats.org/spreadsheetml/2006/main"/>
</file>

<file path=xl/styles.xml><?xml version="1.0" encoding="utf-8"?>
<x:styleSheet xmlns:x="http://schemas.openxmlformats.org/spreadsheetml/2006/main">
  <x:numFmts count="5">
    <x:numFmt numFmtId="200" formatCode="#,##0"/>
    <x:numFmt numFmtId="201" formatCode="0.000%"/>
    <x:numFmt numFmtId="202" formatCode="$#,##0.00"/>
    <x:numFmt numFmtId="203" formatCode="0.00%"/>
    <x:numFmt numFmtId="204" formatCode="&quot;$&quot;#,##0.00"/>
  </x:numFmts>
  <x:fonts count="7">
    <x:font>
      <x:sz val="11"/>
      <x:name val="Carlito"/>
    </x:font>
    <x:font>
      <x:b/>
      <x:sz val="16"/>
      <x:color rgb="FFFFFFFF"/>
      <x:name val="Carlito"/>
    </x:font>
    <x:font>
      <x:sz val="11"/>
      <x:color rgb="FF14213D"/>
      <x:name val="Carlito"/>
    </x:font>
    <x:font>
      <x:b/>
      <x:sz val="11"/>
      <x:color rgb="FFFFFFFF"/>
      <x:name val="Carlito"/>
    </x:font>
    <x:font>
      <x:b/>
      <x:sz val="11"/>
      <x:color rgb="FF14213D"/>
      <x:name val="Carlito"/>
    </x:font>
    <x:font>
      <x:sz val="11"/>
      <x:color rgb="FF64748B"/>
      <x:name val="Carlito"/>
    </x:font>
    <x:font>
      <x:sz val="11"/>
      <x:color rgb="FF14213D"/>
      <x:name val="Carlito"/>
    </x:font>
  </x:fonts>
  <x:fills count="16">
    <x:fill>
      <x:patternFill patternType="none"/>
    </x:fill>
    <x:fill>
      <x:patternFill patternType="gray125"/>
    </x:fill>
    <x:fill>
      <x:patternFill patternType="solid">
        <x:fgColor rgb="FF14213D"/>
      </x:patternFill>
    </x:fill>
    <x:fill>
      <x:patternFill patternType="solid">
        <x:fgColor rgb="FFFFF7ED"/>
      </x:patternFill>
    </x:fill>
    <x:fill>
      <x:patternFill patternType="solid">
        <x:fgColor rgb="FF2563EB"/>
      </x:patternFill>
    </x:fill>
    <x:fill>
      <x:patternFill patternType="solid">
        <x:fgColor rgb="FFEFF6FF"/>
      </x:patternFill>
    </x:fill>
    <x:fill>
      <x:patternFill patternType="solid">
        <x:fgColor rgb="FFF8FAFC"/>
      </x:patternFill>
    </x:fill>
    <x:fill>
      <x:patternFill patternType="solid">
        <x:fgColor rgb="FF14213D"/>
      </x:patternFill>
    </x:fill>
    <x:fill>
      <x:patternFill patternType="solid">
        <x:fgColor rgb="FFFFF7ED"/>
      </x:patternFill>
    </x:fill>
    <x:fill>
      <x:patternFill patternType="solid">
        <x:fgColor rgb="FF2563EB"/>
      </x:patternFill>
    </x:fill>
    <x:fill>
      <x:patternFill patternType="solid">
        <x:fgColor rgb="FFEAF2FF"/>
      </x:patternFill>
    </x:fill>
    <x:fill>
      <x:patternFill patternType="solid">
        <x:fgColor rgb="FF14213D"/>
      </x:patternFill>
    </x:fill>
    <x:fill>
      <x:patternFill patternType="solid">
        <x:fgColor rgb="FFFFF7ED"/>
      </x:patternFill>
    </x:fill>
    <x:fill>
      <x:patternFill patternType="solid">
        <x:fgColor rgb="FF2563EB"/>
      </x:patternFill>
    </x:fill>
    <x:fill>
      <x:patternFill patternType="solid">
        <x:fgColor rgb="FFEAF2FF"/>
      </x:patternFill>
    </x:fill>
    <x:fill>
      <x:patternFill patternType="solid">
        <x:fgColor rgb="FFFFFFFF"/>
      </x:patternFill>
    </x:fill>
  </x:fills>
  <x:borders count="7">
    <x:border/>
    <x:border>
      <x:left style="thin">
        <x:color rgb="FF2563EB"/>
      </x:left>
      <x:top style="thin">
        <x:color rgb="FF2563EB"/>
      </x:top>
      <x:bottom style="thin">
        <x:color rgb="FF2563EB"/>
      </x:bottom>
    </x:border>
    <x:border>
      <x:top style="thin">
        <x:color rgb="FF2563EB"/>
      </x:top>
      <x:bottom style="thin">
        <x:color rgb="FF2563EB"/>
      </x:bottom>
    </x:border>
    <x:border>
      <x:right style="thin">
        <x:color rgb="FF2563EB"/>
      </x:right>
      <x:top style="thin">
        <x:color rgb="FF2563EB"/>
      </x:top>
      <x:bottom style="thin">
        <x:color rgb="FF2563EB"/>
      </x:bottom>
    </x:border>
    <x:border>
      <x:bottom style="thin">
        <x:color rgb="FFDCE3EC"/>
      </x:bottom>
    </x:border>
    <x:border>
      <x:top style="thin">
        <x:color rgb="FFDCE3EC"/>
      </x:top>
      <x:bottom style="thin">
        <x:color rgb="FFDCE3EC"/>
      </x:bottom>
    </x:border>
    <x:border>
      <x:left style="thin">
        <x:color rgb="FF2563EB"/>
      </x:left>
      <x:right style="thin">
        <x:color rgb="FF2563EB"/>
      </x:right>
      <x:top style="thin">
        <x:color rgb="FF2563EB"/>
      </x:top>
      <x:bottom style="thin">
        <x:color rgb="FF2563EB"/>
      </x:bottom>
    </x:border>
  </x:borders>
  <x:cellStyleXfs count="1">
    <x:xf numFmtId="0" fontId="0" fillId="0" borderId="0"/>
  </x:cellStyleXfs>
  <x:cellXfs count="133">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0" fillId="4" borderId="0" xfId="0" applyNumberFormat="1" applyFont="1" applyFill="1" applyBorder="1"/>
    <x:xf numFmtId="0" fontId="3" fillId="4" borderId="0" xfId="0" applyNumberFormat="1" applyFont="1" applyFill="1" applyBorder="1"/>
    <x:xf numFmtId="0" fontId="3" fillId="4" borderId="1" xfId="0" applyNumberFormat="1" applyFont="1" applyFill="1" applyBorder="1"/>
    <x:xf numFmtId="0" fontId="3" fillId="4" borderId="2" xfId="0" applyNumberFormat="1" applyFont="1" applyFill="1" applyBorder="1"/>
    <x:xf numFmtId="0" fontId="3" fillId="4" borderId="3" xfId="0" applyNumberFormat="1" applyFont="1" applyFill="1" applyBorder="1"/>
    <x:xf numFmtId="0" fontId="3" fillId="4" borderId="1" xfId="0" applyNumberFormat="1" applyFont="1" applyFill="1" applyBorder="1" applyAlignment="1">
      <x:alignment wrapText="1"/>
    </x:xf>
    <x:xf numFmtId="0" fontId="3" fillId="4" borderId="2" xfId="0" applyNumberFormat="1" applyFont="1" applyFill="1" applyBorder="1" applyAlignment="1">
      <x:alignment wrapText="1"/>
    </x:xf>
    <x:xf numFmtId="0" fontId="3" fillId="4" borderId="3" xfId="0" applyNumberFormat="1" applyFont="1" applyFill="1" applyBorder="1" applyAlignment="1">
      <x:alignment wrapText="1"/>
    </x:xf>
    <x:xf numFmtId="0" fontId="3" fillId="4" borderId="1" xfId="0" applyNumberFormat="1" applyFont="1" applyFill="1" applyBorder="1" applyAlignment="1">
      <x:alignment vertical="center" wrapText="1"/>
    </x:xf>
    <x:xf numFmtId="0" fontId="3" fillId="4" borderId="2" xfId="0" applyNumberFormat="1" applyFont="1" applyFill="1" applyBorder="1" applyAlignment="1">
      <x:alignment vertical="center" wrapText="1"/>
    </x:xf>
    <x:xf numFmtId="0" fontId="3" fillId="4" borderId="3" xfId="0" applyNumberFormat="1" applyFont="1" applyFill="1" applyBorder="1" applyAlignment="1">
      <x:alignment vertical="center" wrapText="1"/>
    </x:xf>
    <x:xf numFmtId="200" fontId="0" fillId="0" borderId="0" xfId="0" applyNumberFormat="1" applyFont="1" applyFill="1" applyBorder="1"/>
    <x:xf numFmtId="201" fontId="0" fillId="0" borderId="0" xfId="0" applyNumberFormat="1" applyFont="1" applyFill="1" applyBorder="1"/>
    <x:xf numFmtId="202" fontId="0" fillId="0" borderId="0" xfId="0" applyNumberFormat="1" applyFont="1" applyFill="1" applyBorder="1"/>
    <x:xf numFmtId="0" fontId="0" fillId="0" borderId="4" xfId="0" applyNumberFormat="1" applyFont="1" applyFill="1" applyBorder="1"/>
    <x:xf numFmtId="200" fontId="0" fillId="0" borderId="4" xfId="0" applyNumberFormat="1" applyFont="1" applyFill="1" applyBorder="1"/>
    <x:xf numFmtId="0" fontId="0" fillId="0" borderId="5" xfId="0" applyNumberFormat="1" applyFont="1" applyFill="1" applyBorder="1"/>
    <x:xf numFmtId="200" fontId="0" fillId="0" borderId="5" xfId="0" applyNumberFormat="1" applyFont="1" applyFill="1" applyBorder="1"/>
    <x:xf numFmtId="201" fontId="0" fillId="0" borderId="5" xfId="0" applyNumberFormat="1" applyFont="1" applyFill="1" applyBorder="1"/>
    <x:xf numFmtId="202" fontId="0" fillId="0" borderId="5" xfId="0" applyNumberFormat="1" applyFont="1" applyFill="1" applyBorder="1"/>
    <x:xf numFmtId="0" fontId="0" fillId="5" borderId="0" xfId="0" applyNumberFormat="1" applyFont="1" applyFill="1" applyBorder="1"/>
    <x:xf numFmtId="0" fontId="4" fillId="5" borderId="0" xfId="0" applyNumberFormat="1" applyFont="1" applyFill="1" applyBorder="1"/>
    <x:xf numFmtId="0" fontId="4" fillId="5" borderId="4" xfId="0" applyNumberFormat="1" applyFont="1" applyFill="1" applyBorder="1"/>
    <x:xf numFmtId="0" fontId="2" fillId="3" borderId="0" xfId="0" applyNumberFormat="1" applyFont="1" applyFill="1" applyBorder="1" applyAlignment="1">
      <x:alignment vertical="center" wrapText="1"/>
    </x:xf>
    <x:xf numFmtId="0" fontId="4" fillId="0" borderId="0" xfId="0" applyNumberFormat="1" applyFont="1" applyFill="1" applyBorder="1"/>
    <x:xf numFmtId="0" fontId="0" fillId="0" borderId="0" xfId="0" applyNumberFormat="1" applyFont="1" applyFill="1" applyBorder="1" applyAlignment="1">
      <x:alignment wrapText="1"/>
    </x:xf>
    <x:xf numFmtId="0" fontId="0" fillId="0" borderId="4" xfId="0" applyNumberFormat="1" applyFont="1" applyFill="1" applyBorder="1" applyAlignment="1">
      <x:alignment wrapText="1"/>
    </x:xf>
    <x:xf numFmtId="200" fontId="0" fillId="0" borderId="4" xfId="0" applyNumberFormat="1" applyFont="1" applyFill="1" applyBorder="1" applyAlignment="1">
      <x:alignment wrapText="1"/>
    </x:xf>
    <x:xf numFmtId="0" fontId="0" fillId="0" borderId="5" xfId="0" applyNumberFormat="1" applyFont="1" applyFill="1" applyBorder="1" applyAlignment="1">
      <x:alignment wrapText="1"/>
    </x:xf>
    <x:xf numFmtId="200" fontId="0" fillId="0" borderId="5" xfId="0" applyNumberFormat="1" applyFont="1" applyFill="1" applyBorder="1" applyAlignment="1">
      <x:alignment wrapText="1"/>
    </x:xf>
    <x:xf numFmtId="201" fontId="0" fillId="0" borderId="5" xfId="0" applyNumberFormat="1" applyFont="1" applyFill="1" applyBorder="1" applyAlignment="1">
      <x:alignment wrapText="1"/>
    </x:xf>
    <x:xf numFmtId="202" fontId="0" fillId="0" borderId="5" xfId="0" applyNumberFormat="1" applyFont="1" applyFill="1" applyBorder="1" applyAlignment="1">
      <x:alignment wrapText="1"/>
    </x:xf>
    <x:xf numFmtId="0" fontId="4" fillId="5" borderId="4" xfId="0" applyNumberFormat="1" applyFont="1" applyFill="1" applyBorder="1" applyAlignment="1">
      <x:alignment wrapText="1"/>
    </x:xf>
    <x:xf numFmtId="0" fontId="4" fillId="0" borderId="0" xfId="0" applyNumberFormat="1" applyFont="1" applyFill="1" applyBorder="1" applyAlignment="1">
      <x:alignment wrapText="1"/>
    </x:xf>
    <x:xf numFmtId="0" fontId="2" fillId="5" borderId="0" xfId="0" applyNumberFormat="1" applyFont="1" applyFill="1" applyBorder="1"/>
    <x:xf numFmtId="203" fontId="0" fillId="0" borderId="0" xfId="0" applyNumberFormat="1" applyFont="1" applyFill="1" applyBorder="1"/>
    <x:xf numFmtId="203" fontId="0" fillId="0" borderId="5" xfId="0" applyNumberFormat="1" applyFont="1" applyFill="1" applyBorder="1"/>
    <x:xf numFmtId="0" fontId="2" fillId="5" borderId="0" xfId="0" applyNumberFormat="1" applyFont="1" applyFill="1" applyBorder="1" applyAlignment="1">
      <x:alignment wrapText="1"/>
    </x:xf>
    <x:xf numFmtId="203" fontId="0" fillId="0" borderId="5" xfId="0" applyNumberFormat="1" applyFont="1" applyFill="1" applyBorder="1" applyAlignment="1">
      <x:alignment wrapText="1"/>
    </x:xf>
    <x:xf numFmtId="201" fontId="0" fillId="0" borderId="4" xfId="0" applyNumberFormat="1" applyFont="1" applyFill="1" applyBorder="1"/>
    <x:xf numFmtId="202" fontId="0" fillId="0" borderId="4" xfId="0" applyNumberFormat="1" applyFont="1" applyFill="1" applyBorder="1"/>
    <x:xf numFmtId="203" fontId="0" fillId="0" borderId="4" xfId="0" applyNumberFormat="1" applyFont="1" applyFill="1" applyBorder="1"/>
    <x:xf numFmtId="0" fontId="0" fillId="6" borderId="0" xfId="0" applyNumberFormat="1" applyFont="1" applyFill="1" applyBorder="1"/>
    <x:xf numFmtId="0" fontId="5" fillId="6" borderId="0" xfId="0" applyNumberFormat="1" applyFont="1" applyFill="1" applyBorder="1"/>
    <x:xf numFmtId="0" fontId="5" fillId="6" borderId="0" xfId="0" applyNumberFormat="1" applyFont="1" applyFill="1" applyBorder="1" applyAlignment="1">
      <x:alignment wrapText="1"/>
    </x:xf>
    <x:xf numFmtId="0" fontId="2" fillId="6" borderId="0" xfId="0" applyNumberFormat="1" applyFont="1" applyFill="1" applyBorder="1"/>
    <x:xf numFmtId="0" fontId="2" fillId="6" borderId="0" xfId="0" applyNumberFormat="1" applyFont="1" applyFill="1" applyBorder="1" applyAlignment="1">
      <x:alignment wrapText="1"/>
    </x:xf>
    <x:xf numFmtId="0" fontId="2" fillId="6" borderId="0" xfId="0" applyNumberFormat="1" applyFont="1" applyFill="1" applyBorder="1" applyAlignment="1">
      <x:alignment vertical="center" wrapText="1"/>
    </x:xf>
    <x:xf numFmtId="0" fontId="4" fillId="5" borderId="5" xfId="0" applyNumberFormat="1" applyFont="1" applyFill="1" applyBorder="1"/>
    <x:xf numFmtId="0" fontId="4" fillId="3" borderId="0" xfId="0" applyNumberFormat="1" applyFont="1" applyFill="1" applyBorder="1"/>
    <x:xf numFmtId="0" fontId="0" fillId="7" borderId="0" xfId="0" applyNumberFormat="1" applyFont="1" applyFill="1" applyBorder="1"/>
    <x:xf numFmtId="0" fontId="3" fillId="7" borderId="0" xfId="0" applyNumberFormat="1" applyFont="1" applyFill="1" applyBorder="1"/>
    <x:xf numFmtId="0" fontId="3" fillId="7" borderId="0" xfId="0" applyNumberFormat="1" applyFont="1" applyFill="1" applyBorder="1" applyAlignment="1">
      <x:alignment vertical="center"/>
    </x:xf>
    <x:xf numFmtId="0" fontId="0" fillId="8" borderId="0" xfId="0" applyNumberFormat="1" applyFont="1" applyFill="1" applyBorder="1"/>
    <x:xf numFmtId="0" fontId="2" fillId="8" borderId="0" xfId="0" applyNumberFormat="1" applyFont="1" applyFill="1" applyBorder="1"/>
    <x:xf numFmtId="0" fontId="2" fillId="8" borderId="0" xfId="0" applyNumberFormat="1" applyFont="1" applyFill="1" applyBorder="1" applyAlignment="1">
      <x:alignment wrapText="1"/>
    </x:xf>
    <x:xf numFmtId="0" fontId="2" fillId="8" borderId="0" xfId="0" applyNumberFormat="1" applyFont="1" applyFill="1" applyBorder="1" applyAlignment="1">
      <x:alignment vertical="center" wrapText="1"/>
    </x:xf>
    <x:xf numFmtId="0" fontId="0" fillId="9" borderId="0" xfId="0" applyNumberFormat="1" applyFont="1" applyFill="1" applyBorder="1"/>
    <x:xf numFmtId="0" fontId="3" fillId="9" borderId="0" xfId="0" applyNumberFormat="1" applyFont="1" applyFill="1" applyBorder="1"/>
    <x:xf numFmtId="0" fontId="3" fillId="9" borderId="6" xfId="0" applyNumberFormat="1" applyFont="1" applyFill="1" applyBorder="1"/>
    <x:xf numFmtId="0" fontId="3" fillId="9" borderId="6" xfId="0" applyNumberFormat="1" applyFont="1" applyFill="1" applyBorder="1" applyAlignment="1">
      <x:alignment wrapText="1"/>
    </x:xf>
    <x:xf numFmtId="0" fontId="3" fillId="9" borderId="6" xfId="0" applyNumberFormat="1" applyFont="1" applyFill="1" applyBorder="1" applyAlignment="1">
      <x:alignment vertical="center" wrapText="1"/>
    </x:xf>
    <x:xf numFmtId="0" fontId="2" fillId="0" borderId="0" xfId="0" applyNumberFormat="1" applyFont="1" applyFill="1" applyBorder="1"/>
    <x:xf numFmtId="0" fontId="2" fillId="0" xfId="0" applyNumberFormat="1" applyFont="1" applyFill="1" applyBorder="0"/>
    <x:xf numFmtId="0" fontId="2" fillId="0" borderId="4" xfId="0" applyNumberFormat="1" applyFont="1" applyFill="1" applyBorder="1"/>
    <x:xf numFmtId="0" fontId="2" fillId="0" xfId="0" applyNumberFormat="1" applyFont="1" applyFill="1" applyBorder="0" applyAlignment="1">
      <x:alignment wrapText="1"/>
    </x:xf>
    <x:xf numFmtId="0" fontId="2" fillId="0" borderId="4" xfId="0" applyNumberFormat="1" applyFont="1" applyFill="1" applyBorder="1" applyAlignment="1">
      <x:alignment wrapText="1"/>
    </x:xf>
    <x:xf numFmtId="0" fontId="2" fillId="0" xfId="0" applyNumberFormat="1" applyFont="1" applyFill="1" applyBorder="0" applyAlignment="1">
      <x:alignment vertical="center" wrapText="1"/>
    </x:xf>
    <x:xf numFmtId="0" fontId="2" fillId="0" borderId="4" xfId="0" applyNumberFormat="1" applyFont="1" applyFill="1" applyBorder="1" applyAlignment="1">
      <x:alignment vertical="center" wrapText="1"/>
    </x:xf>
    <x:xf numFmtId="0" fontId="2" fillId="8" xfId="0" applyNumberFormat="1" applyFont="1" applyFill="1" applyBorder="0" applyAlignment="1">
      <x:alignment vertical="center" wrapText="1"/>
    </x:xf>
    <x:xf numFmtId="0" fontId="2" fillId="8" borderId="4" xfId="0" applyNumberFormat="1" applyFont="1" applyFill="1" applyBorder="1" applyAlignment="1">
      <x:alignment vertical="center" wrapText="1"/>
    </x:xf>
    <x:xf numFmtId="0" fontId="4" fillId="8" xfId="0" applyNumberFormat="1" applyFont="1" applyFill="1" applyBorder="0" applyAlignment="1">
      <x:alignment vertical="center" wrapText="1"/>
    </x:xf>
    <x:xf numFmtId="0" fontId="4" fillId="8" borderId="4" xfId="0" applyNumberFormat="1" applyFont="1" applyFill="1" applyBorder="1" applyAlignment="1">
      <x:alignment vertical="center" wrapText="1"/>
    </x:xf>
    <x:xf numFmtId="200" fontId="2" fillId="0" xfId="0" applyNumberFormat="1" applyFont="1" applyFill="1" applyBorder="0" applyAlignment="1">
      <x:alignment vertical="center" wrapText="1"/>
    </x:xf>
    <x:xf numFmtId="201" fontId="2" fillId="0" xfId="0" applyNumberFormat="1" applyFont="1" applyFill="1" applyBorder="0" applyAlignment="1">
      <x:alignment vertical="center" wrapText="1"/>
    </x:xf>
    <x:xf numFmtId="204" fontId="2" fillId="0" xfId="0" applyNumberFormat="1" applyFont="1" applyFill="1" applyBorder="0" applyAlignment="1">
      <x:alignment vertical="center" wrapText="1"/>
    </x:xf>
    <x:xf numFmtId="200" fontId="2" fillId="8" xfId="0" applyNumberFormat="1" applyFont="1" applyFill="1" applyBorder="0" applyAlignment="1">
      <x:alignment vertical="center" wrapText="1"/>
    </x:xf>
    <x:xf numFmtId="200" fontId="2" fillId="8" borderId="4" xfId="0" applyNumberFormat="1" applyFont="1" applyFill="1" applyBorder="1" applyAlignment="1">
      <x:alignment vertical="center" wrapText="1"/>
    </x:xf>
    <x:xf numFmtId="200" fontId="2" fillId="0" xfId="0" applyNumberFormat="1" applyFont="1" applyFill="1" applyBorder="0" applyAlignment="1">
      <x:alignment horizontal="right" vertical="center" wrapText="1"/>
    </x:xf>
    <x:xf numFmtId="201" fontId="2" fillId="0" xfId="0" applyNumberFormat="1" applyFont="1" applyFill="1" applyBorder="0" applyAlignment="1">
      <x:alignment horizontal="right" vertical="center" wrapText="1"/>
    </x:xf>
    <x:xf numFmtId="204" fontId="2" fillId="0" xfId="0" applyNumberFormat="1" applyFont="1" applyFill="1" applyBorder="0" applyAlignment="1">
      <x:alignment horizontal="right" vertical="center" wrapText="1"/>
    </x:xf>
    <x:xf numFmtId="200" fontId="2" fillId="8" xfId="0" applyNumberFormat="1" applyFont="1" applyFill="1" applyBorder="0" applyAlignment="1">
      <x:alignment horizontal="right" vertical="center" wrapText="1"/>
    </x:xf>
    <x:xf numFmtId="200" fontId="2" fillId="8" borderId="4" xfId="0" applyNumberFormat="1" applyFont="1" applyFill="1" applyBorder="1" applyAlignment="1">
      <x:alignment horizontal="right" vertical="center" wrapText="1"/>
    </x:xf>
    <x:xf numFmtId="0" fontId="0" fillId="10" borderId="0" xfId="0" applyNumberFormat="1" applyFont="1" applyFill="1" applyBorder="1"/>
    <x:xf numFmtId="0" fontId="4" fillId="10" borderId="0" xfId="0" applyNumberFormat="1" applyFont="1" applyFill="1" applyBorder="1"/>
    <x:xf numFmtId="0" fontId="4" fillId="10" borderId="0" xfId="0" applyNumberFormat="1" applyFont="1" applyFill="1" applyBorder="1" applyAlignment="1">
      <x:alignment vertical="center"/>
    </x:xf>
    <x:xf numFmtId="0" fontId="4" fillId="0" borderId="0" xfId="0" applyNumberFormat="1" applyFont="1" applyFill="1" applyBorder="1" applyAlignment="1">
      <x:alignment vertical="center"/>
    </x:xf>
    <x:xf numFmtId="0" fontId="2" fillId="0" borderId="0" xfId="0" applyNumberFormat="1" applyFont="1" applyFill="1" applyBorder="1" applyAlignment="1">
      <x:alignment wrapText="1"/>
    </x:xf>
    <x:xf numFmtId="0" fontId="2" fillId="0" borderId="0" xfId="0" applyNumberFormat="1" applyFont="1" applyFill="1" applyBorder="1" applyAlignment="1">
      <x:alignment vertical="center" wrapText="1"/>
    </x:xf>
    <x:xf numFmtId="200" fontId="2" fillId="0" borderId="0" xfId="0" applyNumberFormat="1" applyFont="1" applyFill="1" applyBorder="1" applyAlignment="1">
      <x:alignment vertical="center" wrapText="1"/>
    </x:xf>
    <x:xf numFmtId="0" fontId="0" fillId="0" borderId="0" xfId="0" applyNumberFormat="1" applyFont="1" applyFill="1" applyBorder="1"/>
    <x:xf numFmtId="0" fontId="0" fillId="11" borderId="0" xfId="0" applyNumberFormat="1" applyFont="1" applyFill="1" applyBorder="1"/>
    <x:xf numFmtId="0" fontId="3" fillId="11" borderId="0" xfId="0" applyNumberFormat="1" applyFont="1" applyFill="1" applyBorder="1"/>
    <x:xf numFmtId="0" fontId="3" fillId="11" borderId="0" xfId="0" applyNumberFormat="1" applyFont="1" applyFill="1" applyBorder="1" applyAlignment="1">
      <x:alignment vertical="center"/>
    </x:xf>
    <x:xf numFmtId="0" fontId="0" fillId="12" borderId="0" xfId="0" applyNumberFormat="1" applyFont="1" applyFill="1" applyBorder="1"/>
    <x:xf numFmtId="0" fontId="2" fillId="12" borderId="0" xfId="0" applyNumberFormat="1" applyFont="1" applyFill="1" applyBorder="1"/>
    <x:xf numFmtId="0" fontId="2" fillId="12" borderId="0" xfId="0" applyNumberFormat="1" applyFont="1" applyFill="1" applyBorder="1" applyAlignment="1">
      <x:alignment wrapText="1"/>
    </x:xf>
    <x:xf numFmtId="0" fontId="2" fillId="12" borderId="0" xfId="0" applyNumberFormat="1" applyFont="1" applyFill="1" applyBorder="1" applyAlignment="1">
      <x:alignment vertical="center" wrapText="1"/>
    </x:xf>
    <x:xf numFmtId="0" fontId="0" fillId="13" borderId="0" xfId="0" applyNumberFormat="1" applyFont="1" applyFill="1" applyBorder="1"/>
    <x:xf numFmtId="0" fontId="3" fillId="13" borderId="0" xfId="0" applyNumberFormat="1" applyFont="1" applyFill="1" applyBorder="1"/>
    <x:xf numFmtId="0" fontId="3" fillId="13" borderId="6" xfId="0" applyNumberFormat="1" applyFont="1" applyFill="1" applyBorder="1"/>
    <x:xf numFmtId="0" fontId="3" fillId="13" borderId="6" xfId="0" applyNumberFormat="1" applyFont="1" applyFill="1" applyBorder="1" applyAlignment="1">
      <x:alignment wrapText="1"/>
    </x:xf>
    <x:xf numFmtId="0" fontId="3" fillId="13" borderId="6" xfId="0" applyNumberFormat="1" applyFont="1" applyFill="1" applyBorder="1" applyAlignment="1">
      <x:alignment vertical="center" wrapText="1"/>
    </x:xf>
    <x:xf numFmtId="0" fontId="2" fillId="12" xfId="0" applyNumberFormat="1" applyFont="1" applyFill="1" applyBorder="0" applyAlignment="1">
      <x:alignment vertical="center" wrapText="1"/>
    </x:xf>
    <x:xf numFmtId="0" fontId="2" fillId="12" borderId="4" xfId="0" applyNumberFormat="1" applyFont="1" applyFill="1" applyBorder="1" applyAlignment="1">
      <x:alignment vertical="center" wrapText="1"/>
    </x:xf>
    <x:xf numFmtId="0" fontId="4" fillId="12" xfId="0" applyNumberFormat="1" applyFont="1" applyFill="1" applyBorder="0" applyAlignment="1">
      <x:alignment vertical="center" wrapText="1"/>
    </x:xf>
    <x:xf numFmtId="0" fontId="4" fillId="12" borderId="4" xfId="0" applyNumberFormat="1" applyFont="1" applyFill="1" applyBorder="1" applyAlignment="1">
      <x:alignment vertical="center" wrapText="1"/>
    </x:xf>
    <x:xf numFmtId="200" fontId="2" fillId="12" xfId="0" applyNumberFormat="1" applyFont="1" applyFill="1" applyBorder="0" applyAlignment="1">
      <x:alignment vertical="center" wrapText="1"/>
    </x:xf>
    <x:xf numFmtId="200" fontId="2" fillId="12" borderId="4" xfId="0" applyNumberFormat="1" applyFont="1" applyFill="1" applyBorder="1" applyAlignment="1">
      <x:alignment vertical="center" wrapText="1"/>
    </x:xf>
    <x:xf numFmtId="200" fontId="2" fillId="12" xfId="0" applyNumberFormat="1" applyFont="1" applyFill="1" applyBorder="0" applyAlignment="1">
      <x:alignment horizontal="right" vertical="center" wrapText="1"/>
    </x:xf>
    <x:xf numFmtId="200" fontId="2" fillId="12" borderId="4" xfId="0" applyNumberFormat="1" applyFont="1" applyFill="1" applyBorder="1" applyAlignment="1">
      <x:alignment horizontal="right" vertical="center" wrapText="1"/>
    </x:xf>
    <x:xf numFmtId="0" fontId="0" fillId="14" borderId="0" xfId="0" applyNumberFormat="1" applyFont="1" applyFill="1" applyBorder="1"/>
    <x:xf numFmtId="0" fontId="4" fillId="14" borderId="0" xfId="0" applyNumberFormat="1" applyFont="1" applyFill="1" applyBorder="1"/>
    <x:xf numFmtId="0" fontId="4" fillId="14" borderId="0" xfId="0" applyNumberFormat="1" applyFont="1" applyFill="1" applyBorder="1" applyAlignment="1">
      <x:alignment vertical="center"/>
    </x:xf>
    <x:xf numFmtId="200" fontId="2" fillId="3" xfId="0" applyNumberFormat="1" applyFont="1" applyFill="1" applyBorder="0" applyAlignment="1">
      <x:alignment horizontal="right" vertical="center" wrapText="1"/>
    </x:xf>
    <x:xf numFmtId="200" fontId="2" fillId="3" borderId="4" xfId="0" applyNumberFormat="1" applyFont="1" applyFill="1" applyBorder="1" applyAlignment="1">
      <x:alignment horizontal="right" vertical="center" wrapText="1"/>
    </x:xf>
    <x:xf numFmtId="0" fontId="4" fillId="15" xfId="0" applyNumberFormat="1" applyFont="1" applyFill="1" applyBorder="0" applyAlignment="1">
      <x:alignment vertical="center" wrapText="1"/>
    </x:xf>
    <x:xf numFmtId="200" fontId="2" fillId="15" xfId="0" applyNumberFormat="1" applyFont="1" applyFill="1" applyBorder="0" applyAlignment="1">
      <x:alignment horizontal="right" vertical="center" wrapText="1"/>
    </x:xf>
    <x:xf numFmtId="0" fontId="2" fillId="15" xfId="0" applyNumberFormat="1" applyFont="1" applyFill="1" applyBorder="0" applyAlignment="1">
      <x:alignment vertical="center" wrapText="1"/>
    </x:xf>
    <x:xf numFmtId="0" fontId="4" fillId="15" borderId="4" xfId="0" applyNumberFormat="1" applyFont="1" applyFill="1" applyBorder="1" applyAlignment="1">
      <x:alignment vertical="center" wrapText="1"/>
    </x:xf>
    <x:xf numFmtId="200" fontId="2" fillId="15" borderId="4" xfId="0" applyNumberFormat="1" applyFont="1" applyFill="1" applyBorder="1" applyAlignment="1">
      <x:alignment horizontal="right" vertical="center" wrapText="1"/>
    </x:xf>
    <x:xf numFmtId="0" fontId="2" fillId="15" borderId="4" xfId="0" applyNumberFormat="1" applyFont="1" applyFill="1" applyBorder="1" applyAlignment="1">
      <x:alignment vertical="center" wrapText="1"/>
    </x:xf>
    <x:xf numFmtId="0" fontId="6" fillId="15" xfId="0" applyNumberFormat="1" applyFont="1" applyFill="1" applyBorder="0" applyAlignment="1">
      <x:alignment vertical="center" wrapText="1"/>
    </x:xf>
    <x:xf numFmtId="200" fontId="6" fillId="15" xfId="0" applyNumberFormat="1" applyFont="1" applyFill="1" applyBorder="0" applyAlignment="1">
      <x:alignment horizontal="right" vertical="center" wrapText="1"/>
    </x:xf>
    <x:xf numFmtId="0" fontId="6" fillId="15" borderId="4" xfId="0" applyNumberFormat="1" applyFont="1" applyFill="1" applyBorder="1" applyAlignment="1">
      <x:alignment vertical="center" wrapText="1"/>
    </x:xf>
    <x:xf numFmtId="200" fontId="6" fillId="15" borderId="4" xfId="0" applyNumberFormat="1" applyFont="1" applyFill="1" applyBorder="1" applyAlignment="1">
      <x:alignment horizontal="right" vertical="center" wrapText="1"/>
    </x:xf>
  </x:cellXfs>
  <x:cellStyles count="1">
    <x:cellStyle name="Normal" xfId="0"/>
  </x:cellStyles>
  <x:dxfs count="5">
    <x:dxf>
      <x:font>
        <x:b/>
        <x:color rgb="FFC2415D"/>
      </x:font>
      <x:fill>
        <x:patternFill>
          <x:bgColor rgb="FFFFF1F2"/>
        </x:patternFill>
      </x:fill>
    </x:dxf>
    <x:dxf>
      <x:font>
        <x:color rgb="FF15803D"/>
      </x:font>
      <x:fill>
        <x:patternFill>
          <x:bgColor rgb="FFF0FDF4"/>
        </x:patternFill>
      </x:fill>
    </x:dxf>
    <x:dxf>
      <x:font>
        <x:color rgb="FF15803D"/>
      </x:font>
      <x:fill>
        <x:patternFill>
          <x:bgColor rgb="FFF0FDF4"/>
        </x:patternFill>
      </x:fill>
    </x:dxf>
    <x:dxf>
      <x:font>
        <x:color rgb="FF64748B"/>
      </x:font>
      <x:fill>
        <x:patternFill>
          <x:bgColor rgb="FFF8FAFC"/>
        </x:patternFill>
      </x:fill>
    </x:dxf>
    <x:dxf>
      <x:font>
        <x:b/>
        <x:color rgb="FFC2415D"/>
      </x:font>
      <x:fill>
        <x:patternFill>
          <x:bgColor rgb="FFFFF1F2"/>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d916baf1285b47a1" /><Relationship Type="http://schemas.openxmlformats.org/officeDocument/2006/relationships/theme" Target="/xl/theme/theme1.xml" Id="Rbf1e5dd894fa4ac1" /><Relationship Type="http://schemas.openxmlformats.org/officeDocument/2006/relationships/sharedStrings" Target="/xl/sharedStrings.xml" Id="Rc2545971194b40db" /><Relationship Type="http://schemas.openxmlformats.org/officeDocument/2006/relationships/worksheet" Target="/xl/worksheets/sheet1.xml" Id="R2802c800a85448ce" /><Relationship Type="http://schemas.openxmlformats.org/officeDocument/2006/relationships/worksheet" Target="/xl/worksheets/sheet2.xml" Id="R9bee63ad33b34e45" /><Relationship Type="http://schemas.openxmlformats.org/officeDocument/2006/relationships/worksheet" Target="/xl/worksheets/sheet3.xml" Id="R09d6c754c14d4e39" /><Relationship Type="http://schemas.openxmlformats.org/officeDocument/2006/relationships/worksheet" Target="/xl/worksheets/sheet4.xml" Id="R684c8af6f5b840d0" /><Relationship Type="http://schemas.openxmlformats.org/officeDocument/2006/relationships/worksheet" Target="/xl/worksheets/sheet5.xml" Id="Rb9c15ac184dc42a5" /><Relationship Type="http://schemas.openxmlformats.org/officeDocument/2006/relationships/worksheet" Target="/xl/worksheets/sheet6.xml" Id="Rb9739d07b7364d00" /><Relationship Type="http://schemas.openxmlformats.org/officeDocument/2006/relationships/worksheet" Target="/xl/worksheets/sheet7.xml" Id="Rca4c4cd944ed44ce" /><Relationship Type="http://schemas.openxmlformats.org/officeDocument/2006/relationships/worksheet" Target="/xl/worksheets/sheet8.xml" Id="Rd2949912e8d3421c" /><Relationship Type="http://schemas.openxmlformats.org/officeDocument/2006/relationships/worksheet" Target="/xl/worksheets/sheet9.xml" Id="Ra1303b9d767b4e2b" /><Relationship Type="http://schemas.microsoft.com/office/2017/10/relationships/person" Target="/xl/persons/person.xml" Id="R054ecf2e67894774" /></Relationships>
</file>

<file path=xl/persons/person.xml><?xml version="1.0" encoding="utf-8"?>
<xltc:personList xmlns:xltc="http://schemas.microsoft.com/office/spreadsheetml/2018/threadedcomments">
  <xltc:person displayName="Arpit Singhal" id="{083DF3D2-F217-4D1E-A68D-2C246CA08412}"/>
</xltc:personList>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threadedcomments/threadedcomment.xml><?xml version="1.0" encoding="utf-8"?>
<xltc:ThreadedComments xmlns:xltc="http://schemas.microsoft.com/office/spreadsheetml/2018/threadedcomments">
  <xltc:threadedComment ref="B21" dT="2026-07-27T16:59:18.58" personId="{083DF3D2-F217-4D1E-A68D-2C246CA08412}" id="{58951A26-B3E0-8BA0-F132-4225091082C4}">
    <xltc:text>Repository source used for all recalculations: https://github.com/pankhuri1002/credit-card-fraud-analytics/blob/main/data/raw/cc_data_dec19.csv</xltc:text>
  </xltc:threadedComment>
</xltc:ThreadedComments>
</file>

<file path=xl/threadedcomments/threadedcomment2.xml><?xml version="1.0" encoding="utf-8"?>
<xltc:ThreadedComments xmlns:xltc="http://schemas.microsoft.com/office/spreadsheetml/2018/threadedcomments">
  <xltc:threadedComment ref="B12" dT="2026-07-27T16:59:18.582" personId="{083DF3D2-F217-4D1E-A68D-2C246CA08412}" id="{15D4490A-A72A-713B-DD08-A6B7E228B1AD}">
    <xltc:text>Correct median uses only the 516 merchants that meet the matrix threshold of at least 50 transactions.</xltc:text>
  </xltc:threadedComment>
</xltc:ThreadedComments>
</file>

<file path=xl/worksheets/_rels/sheet1.xml.rels>&#65279;<?xml version="1.0" encoding="utf-8"?><Relationships xmlns="http://schemas.openxmlformats.org/package/2006/relationships"><Relationship Type="http://schemas.openxmlformats.org/officeDocument/2006/relationships/comments" Target="/xl/comments1.xml" Id="R21e78e16c2704616" /><Relationship Type="http://schemas.openxmlformats.org/officeDocument/2006/relationships/vmlDrawing" Target="/xl/drawings/vmldrawing.vml" Id="R6450dd1e1839491c" /><Relationship Type="http://schemas.microsoft.com/office/2017/10/relationships/threadedComment" Target="/xl/threadedcomments/threadedcomment.xml" Id="Rdac4a6bf5e7e462e" /></Relationships>
</file>

<file path=xl/worksheets/_rels/sheet7.xml.rels>&#65279;<?xml version="1.0" encoding="utf-8"?><Relationships xmlns="http://schemas.openxmlformats.org/package/2006/relationships"><Relationship Type="http://schemas.openxmlformats.org/officeDocument/2006/relationships/comments" Target="/xl/comments2.xml" Id="R6eac5789abd04f3c" /><Relationship Type="http://schemas.openxmlformats.org/officeDocument/2006/relationships/vmlDrawing" Target="/xl/drawings/vmldrawing2.vml" Id="R997f3030695e4343" /><Relationship Type="http://schemas.microsoft.com/office/2017/10/relationships/threadedComment" Target="/xl/threadedcomments/threadedcomment2.xml" Id="R17c82ef2153e4d73" /></Relationships>
</file>

<file path=xl/worksheets/sheet1.xml><?xml version="1.0" encoding="utf-8"?>
<x:worksheet xmlns:x="http://schemas.openxmlformats.org/spreadsheetml/2006/main">
  <x:sheetViews>
    <x:sheetView showGridLines="0" workbookViewId="0"/>
  </x:sheetViews>
  <x:sheetFormatPr defaultRowHeight="15"/>
  <x:cols>
    <x:col min="1" max="1" width="28" hidden="0" customWidth="1"/>
    <x:col min="2" max="2" width="20" hidden="0" customWidth="1"/>
    <x:col min="3" max="3" width="70" hidden="0" customWidth="1"/>
    <x:col min="4" max="4" width="24" hidden="0" customWidth="1"/>
    <x:col min="5" max="5" width="22" hidden="0" customWidth="1"/>
    <x:col min="6" max="6" width="42" hidden="0" customWidth="1"/>
    <x:col min="7" max="7" width="24" hidden="0" customWidth="1"/>
    <x:col min="8" max="8" width="24" hidden="0" customWidth="1"/>
  </x:cols>
  <x:sheetData>
    <x:row r="1" ht="30" customHeight="1">
      <x:c r="A1" s="100" t="str">
        <x:v>Dashboard Calculation Summary</x:v>
      </x:c>
      <x:c r="B1" s="100"/>
      <x:c r="C1" s="100"/>
      <x:c r="D1" s="100"/>
      <x:c r="E1"/>
      <x:c r="F1"/>
      <x:c r="G1"/>
      <x:c r="H1"/>
    </x:row>
    <x:row r="2">
      <x:c r="A2" s="97"/>
      <x:c r="B2" s="97"/>
      <x:c r="C2" s="97"/>
      <x:c r="D2" s="97"/>
    </x:row>
    <x:row r="3" ht="34" customHeight="1">
      <x:c r="A3" s="104" t="str">
        <x:v>Purpose: show the corrected, formula-backed values used in the dashboard and where each calculation can be checked.</x:v>
      </x:c>
      <x:c r="B3" s="104"/>
      <x:c r="C3" s="104"/>
      <x:c r="D3" s="104"/>
      <x:c r="E3"/>
      <x:c r="F3"/>
      <x:c r="G3"/>
      <x:c r="H3"/>
    </x:row>
    <x:row r="4">
      <x:c r="A4" s="97"/>
      <x:c r="B4" s="97"/>
      <x:c r="C4" s="97"/>
      <x:c r="D4" s="97"/>
      <x:c r="E4"/>
      <x:c r="F4"/>
      <x:c r="G4"/>
      <x:c r="H4"/>
    </x:row>
    <x:row r="5" ht="24" customHeight="1">
      <x:c r="A5" s="109" t="str">
        <x:v>Dashboard item</x:v>
      </x:c>
      <x:c r="B5" s="109" t="str">
        <x:v>Calculated value</x:v>
      </x:c>
      <x:c r="C5" s="109" t="str">
        <x:v>How calculated</x:v>
      </x:c>
      <x:c r="D5" s="109" t="str">
        <x:v>Calculation sheet</x:v>
      </x:c>
      <x:c r="E5"/>
      <x:c r="F5"/>
      <x:c r="G5"/>
      <x:c r="H5"/>
    </x:row>
    <x:row r="6" ht="24" customHeight="1">
      <x:c r="A6" s="74" t="str">
        <x:v>Total transactions</x:v>
      </x:c>
      <x:c r="B6" s="85" t="n">
        <x:f>'KPI Calculations'!E6</x:f>
        <x:v>42308</x:v>
      </x:c>
      <x:c r="C6" s="74" t="str">
        <x:v>Count of transaction rows</x:v>
      </x:c>
      <x:c r="D6" s="74" t="str">
        <x:v>KPI Calculations</x:v>
      </x:c>
      <x:c r="E6"/>
      <x:c r="F6"/>
      <x:c r="G6"/>
      <x:c r="H6"/>
    </x:row>
    <x:row r="7" ht="24" customHeight="1">
      <x:c r="A7" s="74" t="str">
        <x:v>Labelled frauds</x:v>
      </x:c>
      <x:c r="B7" s="85" t="n">
        <x:f>'KPI Calculations'!E7</x:f>
        <x:v>180</x:v>
      </x:c>
      <x:c r="C7" s="74" t="str">
        <x:v>Sum of is_fraud</x:v>
      </x:c>
      <x:c r="D7" s="74" t="str">
        <x:v>KPI Calculations</x:v>
      </x:c>
      <x:c r="E7"/>
      <x:c r="F7"/>
      <x:c r="G7"/>
      <x:c r="H7"/>
    </x:row>
    <x:row r="8" ht="24" customHeight="1">
      <x:c r="A8" s="74" t="str">
        <x:v>Overall fraud rate</x:v>
      </x:c>
      <x:c r="B8" s="86" t="n">
        <x:f>'KPI Calculations'!E8</x:f>
        <x:v>0.004254514512621726</x:v>
      </x:c>
      <x:c r="C8" s="74" t="str">
        <x:v>Labelled frauds ÷ total transactions</x:v>
      </x:c>
      <x:c r="D8" s="74" t="str">
        <x:v>KPI Calculations</x:v>
      </x:c>
      <x:c r="E8"/>
      <x:c r="F8"/>
      <x:c r="G8"/>
      <x:c r="H8"/>
    </x:row>
    <x:row r="9" ht="24" customHeight="1">
      <x:c r="A9" s="74" t="str">
        <x:v>Fraud-labelled amount</x:v>
      </x:c>
      <x:c r="B9" s="87" t="n">
        <x:f>'KPI Calculations'!E10</x:f>
        <x:v>97540.81</x:v>
      </x:c>
      <x:c r="C9" s="74" t="str">
        <x:v>Sum of amt where is_fraud = 1</x:v>
      </x:c>
      <x:c r="D9" s="74" t="str">
        <x:v>KPI Calculations</x:v>
      </x:c>
      <x:c r="E9"/>
      <x:c r="F9"/>
      <x:c r="G9"/>
      <x:c r="H9"/>
    </x:row>
    <x:row r="10" ht="24" customHeight="1">
      <x:c r="A10" s="74" t="str">
        <x:v>Fraud share of value</x:v>
      </x:c>
      <x:c r="B10" s="86" t="n">
        <x:f>'KPI Calculations'!E11</x:f>
        <x:v>0.03288466479276452</x:v>
      </x:c>
      <x:c r="C10" s="74" t="str">
        <x:v>Fraud-labelled amount ÷ total transaction amount</x:v>
      </x:c>
      <x:c r="D10" s="74" t="str">
        <x:v>KPI Calculations</x:v>
      </x:c>
      <x:c r="E10"/>
      <x:c r="F10"/>
      <x:c r="G10"/>
      <x:c r="H10"/>
    </x:row>
    <x:row r="11" ht="24" customHeight="1">
      <x:c r="A11" s="74" t="str">
        <x:v>Late-night fraud rate</x:v>
      </x:c>
      <x:c r="B11" s="86" t="n">
        <x:f>'KPI Calculations'!E14</x:f>
        <x:v>0.016301630163016303</x:v>
      </x:c>
      <x:c r="C11" s="74" t="str">
        <x:v>22:00–03:59 frauds ÷ transactions in that time band</x:v>
      </x:c>
      <x:c r="D11" s="74" t="str">
        <x:v>Hourly Analysis</x:v>
      </x:c>
      <x:c r="E11"/>
      <x:c r="F11"/>
      <x:c r="G11"/>
      <x:c r="H11"/>
    </x:row>
    <x:row r="12" ht="24" customHeight="1">
      <x:c r="A12" s="129" t="str">
        <x:v>Merchant median volume</x:v>
      </x:c>
      <x:c r="B12" s="130" t="n">
        <x:f>'Merchant Median Check'!B12</x:f>
        <x:v>68</x:v>
      </x:c>
      <x:c r="C12" s="129" t="str">
        <x:v>Median of merchant volumes after keeping merchants with at least 50 transactions</x:v>
      </x:c>
      <x:c r="D12" s="129" t="str">
        <x:v>Merchant Median Check</x:v>
      </x:c>
      <x:c r="E12"/>
      <x:c r="F12"/>
      <x:c r="G12"/>
      <x:c r="H12"/>
    </x:row>
    <x:row r="13" ht="32" customHeight="1">
      <x:c r="A13" s="131" t="str">
        <x:v>Top right merchant count</x:v>
      </x:c>
      <x:c r="B13" s="132" t="n">
        <x:f>'Merchant Matrix'!B7</x:f>
        <x:v>79</x:v>
      </x:c>
      <x:c r="C13" s="128" t="str">
        <x:v>Count of eligible merchants with more than 68 transactions AND fraud rate above 0.425%</x:v>
      </x:c>
      <x:c r="D13" s="131" t="str">
        <x:v>Merchant Matrix</x:v>
      </x:c>
      <x:c r="E13"/>
      <x:c r="F13"/>
      <x:c r="G13"/>
      <x:c r="H13"/>
    </x:row>
    <x:row r="14">
      <x:c r="A14" s="97"/>
      <x:c r="B14" s="97"/>
      <x:c r="C14" s="97"/>
      <x:c r="D14" s="97"/>
      <x:c r="E14"/>
      <x:c r="F14"/>
      <x:c r="G14"/>
      <x:c r="H14"/>
    </x:row>
    <x:row r="15">
      <x:c r="A15" s="97"/>
      <x:c r="B15" s="97"/>
      <x:c r="C15" s="97"/>
      <x:c r="D15" s="97"/>
      <x:c r="E15"/>
      <x:c r="F15"/>
      <x:c r="G15"/>
      <x:c r="H15"/>
    </x:row>
    <x:row r="16" ht="30" customHeight="1">
      <x:c r="A16" s="93" t="str">
        <x:v>Dataset rows</x:v>
      </x:c>
      <x:c r="B16" s="95" t="n">
        <x:v>42308</x:v>
      </x:c>
      <x:c r="C16"/>
      <x:c r="D16"/>
      <x:c r="E16"/>
      <x:c r="F16"/>
      <x:c r="G16"/>
      <x:c r="H16"/>
    </x:row>
    <x:row r="17" ht="24" customHeight="1">
      <x:c r="A17" s="93" t="str">
        <x:v>Dataset period</x:v>
      </x:c>
      <x:c r="B17" s="96" t="str">
        <x:v>1–31 December 2019</x:v>
      </x:c>
      <x:c r="C17"/>
      <x:c r="D17"/>
      <x:c r="E17"/>
      <x:c r="F17"/>
      <x:c r="G17"/>
      <x:c r="H17"/>
    </x:row>
    <x:row r="18" ht="24" customHeight="1">
      <x:c r="A18"/>
      <x:c r="B18"/>
      <x:c r="C18"/>
      <x:c r="D18"/>
      <x:c r="E18"/>
      <x:c r="F18"/>
      <x:c r="G18"/>
      <x:c r="H18"/>
    </x:row>
    <x:row r="19" ht="42" customHeight="1">
      <x:c r="A19"/>
      <x:c r="B19"/>
      <x:c r="C19"/>
      <x:c r="D19"/>
      <x:c r="E19"/>
      <x:c r="F19"/>
      <x:c r="G19"/>
      <x:c r="H19"/>
    </x:row>
    <x:row r="20">
      <x:c r="A20"/>
      <x:c r="B20"/>
      <x:c r="C20"/>
      <x:c r="D20"/>
      <x:c r="E20"/>
      <x:c r="F20"/>
      <x:c r="G20"/>
      <x:c r="H20"/>
    </x:row>
    <x:row r="21" ht="30" customHeight="1">
      <x:c r="A21"/>
      <x:c r="B21"/>
      <x:c r="C21"/>
      <x:c r="D21"/>
      <x:c r="E21"/>
      <x:c r="F21"/>
      <x:c r="G21"/>
      <x:c r="H21"/>
    </x:row>
    <x:row r="22" ht="30" customHeight="1">
      <x:c r="A22"/>
      <x:c r="B22"/>
      <x:c r="C22"/>
      <x:c r="D22"/>
      <x:c r="E22"/>
      <x:c r="F22"/>
      <x:c r="G22"/>
      <x:c r="H22"/>
    </x:row>
    <x:row r="23">
      <x:c r="A23"/>
      <x:c r="B23"/>
      <x:c r="C23"/>
      <x:c r="D23"/>
      <x:c r="E23"/>
      <x:c r="F23"/>
      <x:c r="G23"/>
      <x:c r="H23"/>
    </x:row>
    <x:row r="24">
      <x:c r="A24"/>
      <x:c r="B24"/>
      <x:c r="C24"/>
      <x:c r="D24"/>
      <x:c r="E24"/>
      <x:c r="F24"/>
      <x:c r="G24"/>
      <x:c r="H24"/>
    </x:row>
  </x:sheetData>
  <x:mergeCells>
    <x:mergeCell ref="A1:D1"/>
    <x:mergeCell ref="A3:D3"/>
  </x:mergeCells>
  <x:conditionalFormatting sqref="E6:E13">
    <x:cfRule type="containsText" dxfId="0" priority="1" operator="containsText" text="Correction"/>
    <x:cfRule type="containsText" dxfId="1" priority="2" operator="containsText" text="Matches"/>
  </x:conditionalFormatting>
  <x:pageMargins left="0.7" right="0.7" top="0.75" bottom="0.75" header="0.3" footer="0.3"/>
  <x:legacyDrawing xmlns:r="http://schemas.openxmlformats.org/officeDocument/2006/relationships" r:id="R6450dd1e1839491c"/>
</x:worksheet>
</file>

<file path=xl/worksheets/sheet2.xml><?xml version="1.0" encoding="utf-8"?>
<x:worksheet xmlns:x="http://schemas.openxmlformats.org/spreadsheetml/2006/main">
  <x:sheetViews>
    <x:sheetView showGridLines="0" workbookViewId="0"/>
  </x:sheetViews>
  <x:sheetFormatPr defaultRowHeight="15"/>
  <x:cols>
    <x:col min="1" max="1" width="31" hidden="0" customWidth="1"/>
    <x:col min="2" max="2" width="20" hidden="0" customWidth="1"/>
    <x:col min="3" max="3" width="20" hidden="0" customWidth="1"/>
    <x:col min="4" max="4" width="42" hidden="0" customWidth="1"/>
    <x:col min="5" max="5" width="20" hidden="0" customWidth="1"/>
    <x:col min="6" max="6" width="20" hidden="0" customWidth="1"/>
    <x:col min="7" max="7" width="28" hidden="0" customWidth="1"/>
  </x:cols>
  <x:sheetData>
    <x:row r="1" ht="30" customHeight="1">
      <x:c r="A1" s="3" t="str">
        <x:v>KPI Calculations</x:v>
      </x:c>
      <x:c r="B1" s="3"/>
      <x:c r="C1" s="3"/>
      <x:c r="D1" s="3"/>
      <x:c r="E1" s="3"/>
      <x:c r="F1" s="3"/>
      <x:c r="G1" s="3"/>
      <x:c r="H1" s="3"/>
    </x:row>
    <x:row r="3">
      <x:c r="A3" s="44" t="str">
        <x:v>All rates are stored as decimals in Excel and displayed as percentages.</x:v>
      </x:c>
      <x:c r="B3" s="44"/>
      <x:c r="C3" s="44"/>
      <x:c r="D3" s="44"/>
      <x:c r="E3" s="44"/>
      <x:c r="F3" s="44"/>
      <x:c r="G3" s="44"/>
    </x:row>
    <x:row r="4">
      <x:c r="A4" s="32"/>
      <x:c r="B4" s="32"/>
      <x:c r="C4" s="32"/>
      <x:c r="D4" s="32"/>
      <x:c r="E4" s="32"/>
      <x:c r="F4" s="32"/>
      <x:c r="G4" s="32"/>
    </x:row>
    <x:row r="5" ht="28" customHeight="1">
      <x:c r="A5" s="15" t="str">
        <x:v>Metric</x:v>
      </x:c>
      <x:c r="B5" s="16" t="str">
        <x:v>Numerator / input</x:v>
      </x:c>
      <x:c r="C5" s="16" t="str">
        <x:v>Denominator / input</x:v>
      </x:c>
      <x:c r="D5" s="16" t="str">
        <x:v>Formula in words</x:v>
      </x:c>
      <x:c r="E5" s="16" t="str">
        <x:v>Calculated value</x:v>
      </x:c>
      <x:c r="F5" s="16" t="str">
        <x:v>Dashboard display</x:v>
      </x:c>
      <x:c r="G5" s="17" t="str">
        <x:v>Reconciliation</x:v>
      </x:c>
    </x:row>
    <x:row r="6">
      <x:c r="A6" s="33" t="str">
        <x:v>Total transactions</x:v>
      </x:c>
      <x:c r="B6" s="33" t="n">
        <x:v>42308</x:v>
      </x:c>
      <x:c r="C6" s="33"/>
      <x:c r="D6" s="33" t="str">
        <x:v>Count of valid transaction rows</x:v>
      </x:c>
      <x:c r="E6" s="34" t="n">
        <x:f>B6</x:f>
        <x:v>42308</x:v>
      </x:c>
      <x:c r="F6" s="33" t="str">
        <x:v>42,308</x:v>
      </x:c>
      <x:c r="G6" s="33" t="str">
        <x:v>Expected 42,308</x:v>
      </x:c>
    </x:row>
    <x:row r="7">
      <x:c r="A7" s="35" t="str">
        <x:v>Labelled frauds</x:v>
      </x:c>
      <x:c r="B7" s="35" t="n">
        <x:v>180</x:v>
      </x:c>
      <x:c r="C7" s="35"/>
      <x:c r="D7" s="35" t="str">
        <x:v>Sum of is_fraud</x:v>
      </x:c>
      <x:c r="E7" s="36" t="n">
        <x:f>B7</x:f>
        <x:v>180</x:v>
      </x:c>
      <x:c r="F7" s="35" t="str">
        <x:v>180</x:v>
      </x:c>
      <x:c r="G7" s="35" t="str">
        <x:v>Expected 180</x:v>
      </x:c>
    </x:row>
    <x:row r="8">
      <x:c r="A8" s="35" t="str">
        <x:v>Overall fraud rate</x:v>
      </x:c>
      <x:c r="B8" s="35"/>
      <x:c r="C8" s="35"/>
      <x:c r="D8" s="35" t="str">
        <x:v>Labelled frauds ÷ total transactions</x:v>
      </x:c>
      <x:c r="E8" s="37" t="n">
        <x:f>E7/E6</x:f>
        <x:v>0.004254514512621726</x:v>
      </x:c>
      <x:c r="F8" s="35" t="str">
        <x:v>0.425%</x:v>
      </x:c>
      <x:c r="G8" s="35" t="str">
        <x:v>Uses full dataset</x:v>
      </x:c>
    </x:row>
    <x:row r="9">
      <x:c r="A9" s="35" t="str">
        <x:v>Total transaction amount</x:v>
      </x:c>
      <x:c r="B9" s="38" t="n">
        <x:v>2966148.8299999796</x:v>
      </x:c>
      <x:c r="C9" s="38"/>
      <x:c r="D9" s="38" t="str">
        <x:v>Sum of amt</x:v>
      </x:c>
      <x:c r="E9" s="38" t="n">
        <x:f>B9</x:f>
        <x:v>2966148.8299999796</x:v>
      </x:c>
      <x:c r="F9" s="35" t="str">
        <x:v>Not shown as KPI</x:v>
      </x:c>
      <x:c r="G9" s="35" t="str">
        <x:v>Denominator for value share</x:v>
      </x:c>
    </x:row>
    <x:row r="10">
      <x:c r="A10" s="35" t="str">
        <x:v>Fraud-labelled amount</x:v>
      </x:c>
      <x:c r="B10" s="38" t="n">
        <x:v>97540.81</x:v>
      </x:c>
      <x:c r="C10" s="38"/>
      <x:c r="D10" s="38" t="str">
        <x:v>Sum of amt where is_fraud = 1</x:v>
      </x:c>
      <x:c r="E10" s="38" t="n">
        <x:f>B10</x:f>
        <x:v>97540.81</x:v>
      </x:c>
      <x:c r="F10" s="35" t="str">
        <x:v>$97.5K</x:v>
      </x:c>
      <x:c r="G10" s="35" t="str">
        <x:v>Expected $97,540.81</x:v>
      </x:c>
    </x:row>
    <x:row r="11">
      <x:c r="A11" s="35" t="str">
        <x:v>Fraud share of transaction value</x:v>
      </x:c>
      <x:c r="B11" s="35"/>
      <x:c r="C11" s="35"/>
      <x:c r="D11" s="35" t="str">
        <x:v>Fraud-labelled amount ÷ total transaction amount</x:v>
      </x:c>
      <x:c r="E11" s="45" t="n">
        <x:f>E10/E9</x:f>
        <x:v>0.03288466479276452</x:v>
      </x:c>
      <x:c r="F11" s="35" t="str">
        <x:v>3.29%</x:v>
      </x:c>
      <x:c r="G11" s="35" t="str">
        <x:v>Uses transaction value</x:v>
      </x:c>
    </x:row>
    <x:row r="12">
      <x:c r="A12" s="35" t="str">
        <x:v>Late-night transactions</x:v>
      </x:c>
      <x:c r="B12" s="35" t="n">
        <x:v>9999</x:v>
      </x:c>
      <x:c r="C12" s="35"/>
      <x:c r="D12" s="35" t="str">
        <x:v>Transactions from 22:00–03:59</x:v>
      </x:c>
      <x:c r="E12" s="36" t="n">
        <x:f>B12</x:f>
        <x:v>9999</x:v>
      </x:c>
      <x:c r="F12" s="35" t="str">
        <x:v>9,999</x:v>
      </x:c>
      <x:c r="G12" s="35" t="str">
        <x:v>Expected 9,999</x:v>
      </x:c>
    </x:row>
    <x:row r="13">
      <x:c r="A13" s="35" t="str">
        <x:v>Late-night labelled frauds</x:v>
      </x:c>
      <x:c r="B13" s="35" t="n">
        <x:v>163</x:v>
      </x:c>
      <x:c r="C13" s="35"/>
      <x:c r="D13" s="35" t="str">
        <x:v>Frauds from 22:00–03:59</x:v>
      </x:c>
      <x:c r="E13" s="36" t="n">
        <x:f>B13</x:f>
        <x:v>163</x:v>
      </x:c>
      <x:c r="F13" s="35" t="str">
        <x:v>163</x:v>
      </x:c>
      <x:c r="G13" s="35" t="str">
        <x:v>Expected 163</x:v>
      </x:c>
    </x:row>
    <x:row r="14">
      <x:c r="A14" s="35" t="str">
        <x:v>Late-night fraud rate</x:v>
      </x:c>
      <x:c r="B14" s="35"/>
      <x:c r="C14" s="35"/>
      <x:c r="D14" s="35" t="str">
        <x:v>Late-night frauds ÷ late-night transactions</x:v>
      </x:c>
      <x:c r="E14" s="37" t="n">
        <x:f>E13/E12</x:f>
        <x:v>0.016301630163016303</x:v>
      </x:c>
      <x:c r="F14" s="35" t="str">
        <x:v>1.630%</x:v>
      </x:c>
      <x:c r="G14" s="35" t="str">
        <x:v>Uses 22:00–03:59</x:v>
      </x:c>
    </x:row>
    <x:row r="15">
      <x:c r="A15" s="35" t="str">
        <x:v>22:00–23:59 fraud rate</x:v>
      </x:c>
      <x:c r="B15" s="35"/>
      <x:c r="C15" s="35"/>
      <x:c r="D15" s="35" t="str">
        <x:v>Frauds at hours 22–23 ÷ transactions at hours 22–23</x:v>
      </x:c>
      <x:c r="E15" s="37" t="n">
        <x:f>SUM('Hourly Analysis'!C28:C29)/SUM('Hourly Analysis'!B28:B29)</x:f>
        <x:v>0.021763772387213783</x:v>
      </x:c>
      <x:c r="F15" s="35" t="str">
        <x:v>2.176%</x:v>
      </x:c>
      <x:c r="G15" s="35" t="str">
        <x:v>Supports hourly legend</x:v>
      </x:c>
    </x:row>
    <x:row r="16">
      <x:c r="A16" s="35" t="str">
        <x:v>00:00–03:59 fraud rate</x:v>
      </x:c>
      <x:c r="B16" s="35"/>
      <x:c r="C16" s="35"/>
      <x:c r="D16" s="35" t="str">
        <x:v>Frauds at hours 00–03 ÷ transactions at hours 00–03</x:v>
      </x:c>
      <x:c r="E16" s="37" t="n">
        <x:f>SUM('Hourly Analysis'!C8:C11)/SUM('Hourly Analysis'!B8:B11)</x:f>
        <x:v>0.0058531394111387015</x:v>
      </x:c>
      <x:c r="F16" s="35" t="str">
        <x:v>1.199%</x:v>
      </x:c>
      <x:c r="G16" s="35" t="str">
        <x:v>Supports hourly legend</x:v>
      </x:c>
    </x:row>
    <x:row r="17">
      <x:c r="A17" s="32"/>
      <x:c r="B17" s="32"/>
      <x:c r="C17" s="32"/>
      <x:c r="D17" s="32"/>
      <x:c r="E17" s="32"/>
      <x:c r="F17" s="32"/>
      <x:c r="G17" s="32"/>
    </x:row>
    <x:row r="18">
      <x:c r="A18" s="32"/>
      <x:c r="B18" s="32"/>
      <x:c r="C18" s="32"/>
      <x:c r="D18" s="32"/>
      <x:c r="E18" s="32"/>
      <x:c r="F18" s="32"/>
      <x:c r="G18" s="32"/>
    </x:row>
    <x:row r="19">
      <x:c r="A19" s="39" t="str">
        <x:v>Formula examples</x:v>
      </x:c>
      <x:c r="B19" s="39"/>
      <x:c r="C19" s="39"/>
      <x:c r="D19" s="39"/>
      <x:c r="E19" s="39"/>
      <x:c r="F19" s="39"/>
      <x:c r="G19" s="39"/>
    </x:row>
    <x:row r="20">
      <x:c r="A20" s="40" t="str">
        <x:v>Overall fraud rate</x:v>
      </x:c>
      <x:c r="B20" s="32" t="str">
        <x:v>180 ÷ 42,308 = 0.42544%</x:v>
      </x:c>
      <x:c r="C20" s="32"/>
      <x:c r="D20" s="32"/>
      <x:c r="E20" s="32"/>
      <x:c r="F20" s="32"/>
      <x:c r="G20" s="32"/>
    </x:row>
    <x:row r="21">
      <x:c r="A21" s="40" t="str">
        <x:v>Fraud share of value</x:v>
      </x:c>
      <x:c r="B21" s="32" t="str">
        <x:v>97540.81 ÷ 2966148.83 = 3.29%</x:v>
      </x:c>
      <x:c r="C21" s="32"/>
      <x:c r="D21" s="32"/>
      <x:c r="E21" s="32"/>
      <x:c r="F21" s="32"/>
      <x:c r="G21" s="32"/>
    </x:row>
    <x:row r="22">
      <x:c r="A22" s="40" t="str">
        <x:v>Late-night rate</x:v>
      </x:c>
      <x:c r="B22" s="32" t="str">
        <x:v>163 ÷ 9,999 = 1.63016%</x:v>
      </x:c>
      <x:c r="C22" s="32"/>
      <x:c r="D22" s="32"/>
      <x:c r="E22" s="32"/>
      <x:c r="F22" s="32"/>
      <x:c r="G22" s="32"/>
    </x:row>
    <x:row r="23">
      <x:c r="A23" s="40" t="str">
        <x:v>Display note</x:v>
      </x:c>
      <x:c r="B23" s="32" t="str">
        <x:v>The dashboard rounds values; the workbook retains full precision.</x:v>
      </x:c>
      <x:c r="C23" s="32"/>
      <x:c r="D23" s="32"/>
      <x:c r="E23" s="32"/>
      <x:c r="F23" s="32"/>
      <x:c r="G23" s="32"/>
    </x:row>
  </x:sheetData>
  <x:mergeCells>
    <x:mergeCell ref="A1:H1"/>
    <x:mergeCell ref="A3:G3"/>
    <x:mergeCell ref="A19:G19"/>
  </x:mergeCell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24" hidden="0" customWidth="1"/>
    <x:col min="2" max="2" width="20" hidden="0" customWidth="1"/>
    <x:col min="3" max="3" width="20" hidden="0" customWidth="1"/>
    <x:col min="4" max="4" width="22" hidden="0" customWidth="1"/>
    <x:col min="5" max="5" width="16" hidden="0" customWidth="1"/>
    <x:col min="6" max="6" width="23" hidden="0" customWidth="1"/>
  </x:cols>
  <x:sheetData>
    <x:row r="1" ht="30" customHeight="1">
      <x:c r="A1" s="3" t="str">
        <x:v>Category Analysis</x:v>
      </x:c>
      <x:c r="B1" s="3"/>
      <x:c r="C1" s="3"/>
      <x:c r="D1" s="3"/>
      <x:c r="E1" s="3"/>
      <x:c r="F1" s="3"/>
      <x:c r="G1" s="3"/>
      <x:c r="H1" s="3"/>
    </x:row>
    <x:row r="3">
      <x:c r="A3" s="41" t="str">
        <x:v>Dashboard calculation: fraud rate = labelled fraud transactions ÷ all transactions in the category.</x:v>
      </x:c>
      <x:c r="B3" s="41"/>
      <x:c r="C3" s="41"/>
      <x:c r="D3" s="41"/>
      <x:c r="E3" s="41"/>
      <x:c r="F3" s="41"/>
    </x:row>
    <x:row r="5" ht="28" customHeight="1">
      <x:c r="A5" s="15" t="str">
        <x:v>Category</x:v>
      </x:c>
      <x:c r="B5" s="16" t="str">
        <x:v>Total transactions</x:v>
      </x:c>
      <x:c r="C5" s="16" t="str">
        <x:v>Fraud transactions</x:v>
      </x:c>
      <x:c r="D5" s="16" t="str">
        <x:v>Legitimate transactions</x:v>
      </x:c>
      <x:c r="E5" s="16" t="str">
        <x:v>Fraud rate</x:v>
      </x:c>
      <x:c r="F5" s="17" t="str">
        <x:v>Fraud-labelled amount</x:v>
      </x:c>
    </x:row>
    <x:row r="6">
      <x:c r="A6" s="21" t="str">
        <x:v>shopping_net</x:v>
      </x:c>
      <x:c r="B6" s="22" t="n">
        <x:v>3234</x:v>
      </x:c>
      <x:c r="C6" s="22" t="n">
        <x:v>42</x:v>
      </x:c>
      <x:c r="D6" s="22" t="n">
        <x:f>B6-C6</x:f>
        <x:v>3192</x:v>
      </x:c>
      <x:c r="E6" s="46" t="n">
        <x:f>C6/B6</x:f>
        <x:v>0.012987012987012988</x:v>
      </x:c>
      <x:c r="F6" s="47" t="n">
        <x:v>43186.97000000001</x:v>
      </x:c>
    </x:row>
    <x:row r="7">
      <x:c r="A7" s="23" t="str">
        <x:v>grocery_pos</x:v>
      </x:c>
      <x:c r="B7" s="24" t="n">
        <x:v>3940</x:v>
      </x:c>
      <x:c r="C7" s="24" t="n">
        <x:v>37</x:v>
      </x:c>
      <x:c r="D7" s="24" t="n">
        <x:f>B7-C7</x:f>
        <x:v>3903</x:v>
      </x:c>
      <x:c r="E7" s="25" t="n">
        <x:f>C7/B7</x:f>
        <x:v>0.009390862944162437</x:v>
      </x:c>
      <x:c r="F7" s="26" t="n">
        <x:v>11665.249999999998</x:v>
      </x:c>
    </x:row>
    <x:row r="8">
      <x:c r="A8" s="23" t="str">
        <x:v>misc_net</x:v>
      </x:c>
      <x:c r="B8" s="24" t="n">
        <x:v>2085</x:v>
      </x:c>
      <x:c r="C8" s="24" t="n">
        <x:v>19</x:v>
      </x:c>
      <x:c r="D8" s="24" t="n">
        <x:f>B8-C8</x:f>
        <x:v>2066</x:v>
      </x:c>
      <x:c r="E8" s="25" t="n">
        <x:f>C8/B8</x:f>
        <x:v>0.009112709832134292</x:v>
      </x:c>
      <x:c r="F8" s="26" t="n">
        <x:v>14795.120000000003</x:v>
      </x:c>
    </x:row>
    <x:row r="9">
      <x:c r="A9" s="23" t="str">
        <x:v>shopping_pos</x:v>
      </x:c>
      <x:c r="B9" s="24" t="n">
        <x:v>3812</x:v>
      </x:c>
      <x:c r="C9" s="24" t="n">
        <x:v>23</x:v>
      </x:c>
      <x:c r="D9" s="24" t="n">
        <x:f>B9-C9</x:f>
        <x:v>3789</x:v>
      </x:c>
      <x:c r="E9" s="25" t="n">
        <x:f>C9/B9</x:f>
        <x:v>0.006033578174186778</x:v>
      </x:c>
      <x:c r="F9" s="26" t="n">
        <x:v>19990.93</x:v>
      </x:c>
    </x:row>
    <x:row r="10">
      <x:c r="A10" s="23" t="str">
        <x:v>gas_transport</x:v>
      </x:c>
      <x:c r="B10" s="24" t="n">
        <x:v>4356</x:v>
      </x:c>
      <x:c r="C10" s="24" t="n">
        <x:v>13</x:v>
      </x:c>
      <x:c r="D10" s="24" t="n">
        <x:f>B10-C10</x:f>
        <x:v>4343</x:v>
      </x:c>
      <x:c r="E10" s="25" t="n">
        <x:f>C10/B10</x:f>
        <x:v>0.0029843893480257116</x:v>
      </x:c>
      <x:c r="F10" s="26" t="n">
        <x:v>178.95</x:v>
      </x:c>
    </x:row>
    <x:row r="11">
      <x:c r="A11" s="23" t="str">
        <x:v>misc_pos</x:v>
      </x:c>
      <x:c r="B11" s="24" t="n">
        <x:v>2655</x:v>
      </x:c>
      <x:c r="C11" s="24" t="n">
        <x:v>7</x:v>
      </x:c>
      <x:c r="D11" s="24" t="n">
        <x:f>B11-C11</x:f>
        <x:v>2648</x:v>
      </x:c>
      <x:c r="E11" s="25" t="n">
        <x:f>C11/B11</x:f>
        <x:v>0.0026365348399246705</x:v>
      </x:c>
      <x:c r="F11" s="26" t="n">
        <x:v>1827.1700000000003</x:v>
      </x:c>
    </x:row>
    <x:row r="12">
      <x:c r="A12" s="23" t="str">
        <x:v>personal_care</x:v>
      </x:c>
      <x:c r="B12" s="24" t="n">
        <x:v>3026</x:v>
      </x:c>
      <x:c r="C12" s="24" t="n">
        <x:v>7</x:v>
      </x:c>
      <x:c r="D12" s="24" t="n">
        <x:f>B12-C12</x:f>
        <x:v>3019</x:v>
      </x:c>
      <x:c r="E12" s="25" t="n">
        <x:f>C12/B12</x:f>
        <x:v>0.002313284864507601</x:v>
      </x:c>
      <x:c r="F12" s="26" t="n">
        <x:v>174.69000000000003</x:v>
      </x:c>
    </x:row>
    <x:row r="13">
      <x:c r="A13" s="23" t="str">
        <x:v>entertainment</x:v>
      </x:c>
      <x:c r="B13" s="24" t="n">
        <x:v>3060</x:v>
      </x:c>
      <x:c r="C13" s="24" t="n">
        <x:v>7</x:v>
      </x:c>
      <x:c r="D13" s="24" t="n">
        <x:f>B13-C13</x:f>
        <x:v>3053</x:v>
      </x:c>
      <x:c r="E13" s="25" t="n">
        <x:f>C13/B13</x:f>
        <x:v>0.0022875816993464053</x:v>
      </x:c>
      <x:c r="F13" s="26" t="n">
        <x:v>3717.6799999999994</x:v>
      </x:c>
    </x:row>
    <x:row r="14">
      <x:c r="A14" s="23" t="str">
        <x:v>grocery_net</x:v>
      </x:c>
      <x:c r="B14" s="24" t="n">
        <x:v>1544</x:v>
      </x:c>
      <x:c r="C14" s="24" t="n">
        <x:v>3</x:v>
      </x:c>
      <x:c r="D14" s="24" t="n">
        <x:f>B14-C14</x:f>
        <x:v>1541</x:v>
      </x:c>
      <x:c r="E14" s="25" t="n">
        <x:f>C14/B14</x:f>
        <x:v>0.0019430051813471502</x:v>
      </x:c>
      <x:c r="F14" s="26" t="n">
        <x:v>33.35</x:v>
      </x:c>
    </x:row>
    <x:row r="15">
      <x:c r="A15" s="23" t="str">
        <x:v>food_dining</x:v>
      </x:c>
      <x:c r="B15" s="24" t="n">
        <x:v>2898</x:v>
      </x:c>
      <x:c r="C15" s="24" t="n">
        <x:v>5</x:v>
      </x:c>
      <x:c r="D15" s="24" t="n">
        <x:f>B15-C15</x:f>
        <x:v>2893</x:v>
      </x:c>
      <x:c r="E15" s="25" t="n">
        <x:f>C15/B15</x:f>
        <x:v>0.001725327812284334</x:v>
      </x:c>
      <x:c r="F15" s="26" t="n">
        <x:v>561.5</x:v>
      </x:c>
    </x:row>
    <x:row r="16">
      <x:c r="A16" s="23" t="str">
        <x:v>kids_pets</x:v>
      </x:c>
      <x:c r="B16" s="24" t="n">
        <x:v>3633</x:v>
      </x:c>
      <x:c r="C16" s="24" t="n">
        <x:v>6</x:v>
      </x:c>
      <x:c r="D16" s="24" t="n">
        <x:f>B16-C16</x:f>
        <x:v>3627</x:v>
      </x:c>
      <x:c r="E16" s="25" t="n">
        <x:f>C16/B16</x:f>
        <x:v>0.0016515276630883566</x:v>
      </x:c>
      <x:c r="F16" s="26" t="n">
        <x:v>82.37</x:v>
      </x:c>
    </x:row>
    <x:row r="17">
      <x:c r="A17" s="23" t="str">
        <x:v>travel</x:v>
      </x:c>
      <x:c r="B17" s="24" t="n">
        <x:v>1313</x:v>
      </x:c>
      <x:c r="C17" s="24" t="n">
        <x:v>2</x:v>
      </x:c>
      <x:c r="D17" s="24" t="n">
        <x:f>B17-C17</x:f>
        <x:v>1311</x:v>
      </x:c>
      <x:c r="E17" s="25" t="n">
        <x:f>C17/B17</x:f>
        <x:v>0.0015232292460015233</x:v>
      </x:c>
      <x:c r="F17" s="26" t="n">
        <x:v>18.45</x:v>
      </x:c>
    </x:row>
    <x:row r="18">
      <x:c r="A18" s="23" t="str">
        <x:v>health_fitness</x:v>
      </x:c>
      <x:c r="B18" s="24" t="n">
        <x:v>2770</x:v>
      </x:c>
      <x:c r="C18" s="24" t="n">
        <x:v>4</x:v>
      </x:c>
      <x:c r="D18" s="24" t="n">
        <x:f>B18-C18</x:f>
        <x:v>2766</x:v>
      </x:c>
      <x:c r="E18" s="25" t="n">
        <x:f>C18/B18</x:f>
        <x:v>0.001444043321299639</x:v>
      </x:c>
      <x:c r="F18" s="26" t="n">
        <x:v>81.09</x:v>
      </x:c>
    </x:row>
    <x:row r="19">
      <x:c r="A19" s="23" t="str">
        <x:v>home</x:v>
      </x:c>
      <x:c r="B19" s="24" t="n">
        <x:v>3982</x:v>
      </x:c>
      <x:c r="C19" s="24" t="n">
        <x:v>5</x:v>
      </x:c>
      <x:c r="D19" s="24" t="n">
        <x:f>B19-C19</x:f>
        <x:v>3977</x:v>
      </x:c>
      <x:c r="E19" s="25" t="n">
        <x:f>C19/B19</x:f>
        <x:v>0.0012556504269211452</x:v>
      </x:c>
      <x:c r="F19" s="26" t="n">
        <x:v>1227.29</x:v>
      </x:c>
    </x:row>
  </x:sheetData>
  <x:mergeCells>
    <x:mergeCell ref="A1:H1"/>
    <x:mergeCell ref="A3:F3"/>
  </x:mergeCells>
  <x:conditionalFormatting sqref="E6:E19">
    <x:cfRule type="dataBar" priority="1">
      <x:dataBar>
        <x:cfvo type="min"/>
        <x:cfvo type="max"/>
        <x:color rgb="FF2563EB"/>
      </x:dataBar>
      <x:extLst>
        <x:ext xmlns:x14="http://schemas.microsoft.com/office/spreadsheetml/2009/9/main" uri="{B025F937-C7B1-47D3-B67F-A62EFF666E3E}">
          <x14:id>{A8ACA548-5322-9FA5-F6C6-7821284720F6}</x14:id>
        </x:ext>
      </x:extLst>
    </x:cfRule>
  </x:conditionalFormatting>
  <x:pageMargins left="0.7" right="0.7" top="0.75" bottom="0.75" header="0.3" footer="0.3"/>
  <x:extLst>
    <x:ext xmlns:x14="http://schemas.microsoft.com/office/spreadsheetml/2009/9/main" xmlns:xm="http://schemas.microsoft.com/office/excel/2006/main" uri="{78C0D931-6437-407d-A8EE-F0AAD7539E65}">
      <x14:conditionalFormattings>
        <x14:conditionalFormatting>
          <x14:cfRule type="dataBar" priority="1" id="{A8ACA548-5322-9FA5-F6C6-7821284720F6}">
            <x14:dataBar gradient="1">
              <x14:cfvo type="min"/>
              <x14:cfvo type="max"/>
              <x14:fillColor rgb="FF2563EB"/>
            </x14:dataBar>
          </x14:cfRule>
          <xm:sqref>E6:E19</xm:sqref>
        </x14:conditionalFormatting>
      </x14:conditionalFormattings>
    </x:ext>
  </x:extLst>
</x:worksheet>
</file>

<file path=xl/worksheets/sheet4.xml><?xml version="1.0" encoding="utf-8"?>
<x:worksheet xmlns:x="http://schemas.openxmlformats.org/spreadsheetml/2006/main">
  <x:sheetViews>
    <x:sheetView showGridLines="0" workbookViewId="0"/>
  </x:sheetViews>
  <x:sheetFormatPr defaultRowHeight="15"/>
  <x:cols>
    <x:col min="1" max="1" width="12" hidden="0" customWidth="1"/>
    <x:col min="2" max="2" width="20" hidden="0" customWidth="1"/>
    <x:col min="3" max="3" width="20" hidden="0" customWidth="1"/>
    <x:col min="4" max="4" width="22" hidden="0" customWidth="1"/>
    <x:col min="5" max="5" width="16" hidden="0" customWidth="1"/>
    <x:col min="6" max="6" width="23" hidden="0" customWidth="1"/>
    <x:col min="7" max="7" width="3" hidden="0" customWidth="1"/>
    <x:col min="8" max="8" width="20" hidden="0" customWidth="1"/>
    <x:col min="9" max="9" width="18" hidden="0" customWidth="1"/>
    <x:col min="10" max="10" width="14" hidden="0" customWidth="1"/>
    <x:col min="11" max="11" width="16" hidden="0" customWidth="1"/>
  </x:cols>
  <x:sheetData>
    <x:row r="1" ht="30" customHeight="1">
      <x:c r="A1" s="3" t="str">
        <x:v>Hourly Analysis</x:v>
      </x:c>
      <x:c r="B1" s="3"/>
      <x:c r="C1" s="3"/>
      <x:c r="D1" s="3"/>
      <x:c r="E1" s="3"/>
      <x:c r="F1" s="3"/>
      <x:c r="G1" s="3"/>
      <x:c r="H1" s="3"/>
    </x:row>
    <x:row r="3">
      <x:c r="A3" s="41" t="str">
        <x:v>Dashboard calculation: fraud rate = labelled fraud transactions ÷ all transactions at each hour.</x:v>
      </x:c>
      <x:c r="B3" s="41"/>
      <x:c r="C3" s="41"/>
      <x:c r="D3" s="41"/>
      <x:c r="E3" s="41"/>
      <x:c r="F3" s="41"/>
    </x:row>
    <x:row r="5" ht="28" customHeight="1">
      <x:c r="A5" s="15" t="str">
        <x:v>Hour</x:v>
      </x:c>
      <x:c r="B5" s="16" t="str">
        <x:v>Total transactions</x:v>
      </x:c>
      <x:c r="C5" s="16" t="str">
        <x:v>Fraud transactions</x:v>
      </x:c>
      <x:c r="D5" s="16" t="str">
        <x:v>Legitimate transactions</x:v>
      </x:c>
      <x:c r="E5" s="16" t="str">
        <x:v>Fraud rate</x:v>
      </x:c>
      <x:c r="F5" s="17" t="str">
        <x:v>Fraud-labelled amount</x:v>
      </x:c>
      <x:c r="H5" s="15" t="str">
        <x:v>Window</x:v>
      </x:c>
      <x:c r="I5" s="16" t="str">
        <x:v>Transactions</x:v>
      </x:c>
      <x:c r="J5" s="16" t="str">
        <x:v>Frauds</x:v>
      </x:c>
      <x:c r="K5" s="17" t="str">
        <x:v>Fraud rate</x:v>
      </x:c>
    </x:row>
    <x:row r="6">
      <x:c r="A6" s="21" t="str">
        <x:v>00:00</x:v>
      </x:c>
      <x:c r="B6" s="22" t="n">
        <x:v>1368</x:v>
      </x:c>
      <x:c r="C6" s="22" t="n">
        <x:v>18</x:v>
      </x:c>
      <x:c r="D6" s="22" t="n">
        <x:f>B6-C6</x:f>
        <x:v>1350</x:v>
      </x:c>
      <x:c r="E6" s="46" t="n">
        <x:f>C6/B6</x:f>
        <x:v>0.013157894736842105</x:v>
      </x:c>
      <x:c r="F6" s="47" t="n">
        <x:v>6479.56</x:v>
      </x:c>
      <x:c r="H6" s="21" t="str">
        <x:v>22:00–23:59</x:v>
      </x:c>
      <x:c r="I6" s="22" t="n">
        <x:f>SUM(B28:B29)</x:f>
        <x:v>4411</x:v>
      </x:c>
      <x:c r="J6" s="22" t="n">
        <x:f>SUM(C28:C29)</x:f>
        <x:v>96</x:v>
      </x:c>
      <x:c r="K6" s="46" t="n">
        <x:f>J6/I6</x:f>
        <x:v>0.021763772387213783</x:v>
      </x:c>
    </x:row>
    <x:row r="7">
      <x:c r="A7" s="23" t="str">
        <x:v>01:00</x:v>
      </x:c>
      <x:c r="B7" s="24" t="n">
        <x:v>1400</x:v>
      </x:c>
      <x:c r="C7" s="24" t="n">
        <x:v>18</x:v>
      </x:c>
      <x:c r="D7" s="24" t="n">
        <x:f>B7-C7</x:f>
        <x:v>1382</x:v>
      </x:c>
      <x:c r="E7" s="25" t="n">
        <x:f>C7/B7</x:f>
        <x:v>0.012857142857142857</x:v>
      </x:c>
      <x:c r="F7" s="26" t="n">
        <x:v>9305.349999999999</x:v>
      </x:c>
      <x:c r="H7" s="23" t="str">
        <x:v>00:00–03:59</x:v>
      </x:c>
      <x:c r="I7" s="24" t="n">
        <x:f>SUM(B6:B9)</x:f>
        <x:v>5588</x:v>
      </x:c>
      <x:c r="J7" s="24" t="n">
        <x:f>SUM(C6:C9)</x:f>
        <x:v>67</x:v>
      </x:c>
      <x:c r="K7" s="25" t="n">
        <x:f>J7/I7</x:f>
        <x:v>0.011989978525411596</x:v>
      </x:c>
    </x:row>
    <x:row r="8">
      <x:c r="A8" s="23" t="str">
        <x:v>02:00</x:v>
      </x:c>
      <x:c r="B8" s="24" t="n">
        <x:v>1399</x:v>
      </x:c>
      <x:c r="C8" s="24" t="n">
        <x:v>15</x:v>
      </x:c>
      <x:c r="D8" s="24" t="n">
        <x:f>B8-C8</x:f>
        <x:v>1384</x:v>
      </x:c>
      <x:c r="E8" s="25" t="n">
        <x:f>C8/B8</x:f>
        <x:v>0.010721944245889922</x:v>
      </x:c>
      <x:c r="F8" s="26" t="n">
        <x:v>5326.12</x:v>
      </x:c>
      <x:c r="H8" s="23" t="str">
        <x:v>22:00–03:59</x:v>
      </x:c>
      <x:c r="I8" s="24" t="n">
        <x:f>I6+I7</x:f>
        <x:v>9999</x:v>
      </x:c>
      <x:c r="J8" s="24" t="n">
        <x:f>J6+J7</x:f>
        <x:v>163</x:v>
      </x:c>
      <x:c r="K8" s="25" t="n">
        <x:f>J8/I8</x:f>
        <x:v>0.016301630163016303</x:v>
      </x:c>
    </x:row>
    <x:row r="9">
      <x:c r="A9" s="23" t="str">
        <x:v>03:00</x:v>
      </x:c>
      <x:c r="B9" s="24" t="n">
        <x:v>1421</x:v>
      </x:c>
      <x:c r="C9" s="24" t="n">
        <x:v>16</x:v>
      </x:c>
      <x:c r="D9" s="24" t="n">
        <x:f>B9-C9</x:f>
        <x:v>1405</x:v>
      </x:c>
      <x:c r="E9" s="25" t="n">
        <x:f>C9/B9</x:f>
        <x:v>0.011259676284306826</x:v>
      </x:c>
      <x:c r="F9" s="26" t="n">
        <x:v>4410.44</x:v>
      </x:c>
    </x:row>
    <x:row r="10">
      <x:c r="A10" s="23" t="str">
        <x:v>04:00</x:v>
      </x:c>
      <x:c r="B10" s="24" t="n">
        <x:v>1374</x:v>
      </x:c>
      <x:c r="C10" s="24" t="n">
        <x:v>1</x:v>
      </x:c>
      <x:c r="D10" s="24" t="n">
        <x:f>B10-C10</x:f>
        <x:v>1373</x:v>
      </x:c>
      <x:c r="E10" s="25" t="n">
        <x:f>C10/B10</x:f>
        <x:v>0.000727802037845706</x:v>
      </x:c>
      <x:c r="F10" s="26" t="n">
        <x:v>535.22</x:v>
      </x:c>
    </x:row>
    <x:row r="11">
      <x:c r="A11" s="23" t="str">
        <x:v>05:00</x:v>
      </x:c>
      <x:c r="B11" s="24" t="n">
        <x:v>1444</x:v>
      </x:c>
      <x:c r="C11" s="24" t="n">
        <x:v>1</x:v>
      </x:c>
      <x:c r="D11" s="24" t="n">
        <x:f>B11-C11</x:f>
        <x:v>1443</x:v>
      </x:c>
      <x:c r="E11" s="25" t="n">
        <x:f>C11/B11</x:f>
        <x:v>0.0006925207756232687</x:v>
      </x:c>
      <x:c r="F11" s="26" t="n">
        <x:v>1044.1</x:v>
      </x:c>
    </x:row>
    <x:row r="12">
      <x:c r="A12" s="23" t="str">
        <x:v>06:00</x:v>
      </x:c>
      <x:c r="B12" s="24" t="n">
        <x:v>1364</x:v>
      </x:c>
      <x:c r="C12" s="24" t="n">
        <x:v>0</x:v>
      </x:c>
      <x:c r="D12" s="24" t="n">
        <x:f>B12-C12</x:f>
        <x:v>1364</x:v>
      </x:c>
      <x:c r="E12" s="25" t="n">
        <x:f>C12/B12</x:f>
        <x:v>0</x:v>
      </x:c>
      <x:c r="F12" s="26" t="n">
        <x:v>0</x:v>
      </x:c>
    </x:row>
    <x:row r="13">
      <x:c r="A13" s="23" t="str">
        <x:v>07:00</x:v>
      </x:c>
      <x:c r="B13" s="24" t="n">
        <x:v>1378</x:v>
      </x:c>
      <x:c r="C13" s="24" t="n">
        <x:v>0</x:v>
      </x:c>
      <x:c r="D13" s="24" t="n">
        <x:f>B13-C13</x:f>
        <x:v>1378</x:v>
      </x:c>
      <x:c r="E13" s="25" t="n">
        <x:f>C13/B13</x:f>
        <x:v>0</x:v>
      </x:c>
      <x:c r="F13" s="26" t="n">
        <x:v>0</x:v>
      </x:c>
    </x:row>
    <x:row r="14">
      <x:c r="A14" s="23" t="str">
        <x:v>08:00</x:v>
      </x:c>
      <x:c r="B14" s="24" t="n">
        <x:v>1424</x:v>
      </x:c>
      <x:c r="C14" s="24" t="n">
        <x:v>0</x:v>
      </x:c>
      <x:c r="D14" s="24" t="n">
        <x:f>B14-C14</x:f>
        <x:v>1424</x:v>
      </x:c>
      <x:c r="E14" s="25" t="n">
        <x:f>C14/B14</x:f>
        <x:v>0</x:v>
      </x:c>
      <x:c r="F14" s="26" t="n">
        <x:v>0</x:v>
      </x:c>
    </x:row>
    <x:row r="15">
      <x:c r="A15" s="23" t="str">
        <x:v>09:00</x:v>
      </x:c>
      <x:c r="B15" s="24" t="n">
        <x:v>1353</x:v>
      </x:c>
      <x:c r="C15" s="24" t="n">
        <x:v>1</x:v>
      </x:c>
      <x:c r="D15" s="24" t="n">
        <x:f>B15-C15</x:f>
        <x:v>1352</x:v>
      </x:c>
      <x:c r="E15" s="25" t="n">
        <x:f>C15/B15</x:f>
        <x:v>0.0007390983000739098</x:v>
      </x:c>
      <x:c r="F15" s="26" t="n">
        <x:v>279.46</x:v>
      </x:c>
    </x:row>
    <x:row r="16">
      <x:c r="A16" s="23" t="str">
        <x:v>10:00</x:v>
      </x:c>
      <x:c r="B16" s="24" t="n">
        <x:v>1372</x:v>
      </x:c>
      <x:c r="C16" s="24" t="n">
        <x:v>0</x:v>
      </x:c>
      <x:c r="D16" s="24" t="n">
        <x:f>B16-C16</x:f>
        <x:v>1372</x:v>
      </x:c>
      <x:c r="E16" s="25" t="n">
        <x:f>C16/B16</x:f>
        <x:v>0</x:v>
      </x:c>
      <x:c r="F16" s="26" t="n">
        <x:v>0</x:v>
      </x:c>
    </x:row>
    <x:row r="17">
      <x:c r="A17" s="23" t="str">
        <x:v>11:00</x:v>
      </x:c>
      <x:c r="B17" s="24" t="n">
        <x:v>1376</x:v>
      </x:c>
      <x:c r="C17" s="24" t="n">
        <x:v>2</x:v>
      </x:c>
      <x:c r="D17" s="24" t="n">
        <x:f>B17-C17</x:f>
        <x:v>1374</x:v>
      </x:c>
      <x:c r="E17" s="25" t="n">
        <x:f>C17/B17</x:f>
        <x:v>0.0014534883720930232</x:v>
      </x:c>
      <x:c r="F17" s="26" t="n">
        <x:v>40.84</x:v>
      </x:c>
    </x:row>
    <x:row r="18">
      <x:c r="A18" s="23" t="str">
        <x:v>12:00</x:v>
      </x:c>
      <x:c r="B18" s="24" t="n">
        <x:v>2129</x:v>
      </x:c>
      <x:c r="C18" s="24" t="n">
        <x:v>1</x:v>
      </x:c>
      <x:c r="D18" s="24" t="n">
        <x:f>B18-C18</x:f>
        <x:v>2128</x:v>
      </x:c>
      <x:c r="E18" s="25" t="n">
        <x:f>C18/B18</x:f>
        <x:v>0.0004697040864255519</x:v>
      </x:c>
      <x:c r="F18" s="26" t="n">
        <x:v>1234.22</x:v>
      </x:c>
    </x:row>
    <x:row r="19">
      <x:c r="A19" s="23" t="str">
        <x:v>13:00</x:v>
      </x:c>
      <x:c r="B19" s="24" t="n">
        <x:v>2172</x:v>
      </x:c>
      <x:c r="C19" s="24" t="n">
        <x:v>2</x:v>
      </x:c>
      <x:c r="D19" s="24" t="n">
        <x:f>B19-C19</x:f>
        <x:v>2170</x:v>
      </x:c>
      <x:c r="E19" s="25" t="n">
        <x:f>C19/B19</x:f>
        <x:v>0.0009208103130755065</x:v>
      </x:c>
      <x:c r="F19" s="26" t="n">
        <x:v>2230.66</x:v>
      </x:c>
    </x:row>
    <x:row r="20">
      <x:c r="A20" s="23" t="str">
        <x:v>14:00</x:v>
      </x:c>
      <x:c r="B20" s="24" t="n">
        <x:v>2066</x:v>
      </x:c>
      <x:c r="C20" s="24" t="n">
        <x:v>0</x:v>
      </x:c>
      <x:c r="D20" s="24" t="n">
        <x:f>B20-C20</x:f>
        <x:v>2066</x:v>
      </x:c>
      <x:c r="E20" s="25" t="n">
        <x:f>C20/B20</x:f>
        <x:v>0</x:v>
      </x:c>
      <x:c r="F20" s="26" t="n">
        <x:v>0</x:v>
      </x:c>
    </x:row>
    <x:row r="21">
      <x:c r="A21" s="23" t="str">
        <x:v>15:00</x:v>
      </x:c>
      <x:c r="B21" s="24" t="n">
        <x:v>2051</x:v>
      </x:c>
      <x:c r="C21" s="24" t="n">
        <x:v>0</x:v>
      </x:c>
      <x:c r="D21" s="24" t="n">
        <x:f>B21-C21</x:f>
        <x:v>2051</x:v>
      </x:c>
      <x:c r="E21" s="25" t="n">
        <x:f>C21/B21</x:f>
        <x:v>0</x:v>
      </x:c>
      <x:c r="F21" s="26" t="n">
        <x:v>0</x:v>
      </x:c>
    </x:row>
    <x:row r="22">
      <x:c r="A22" s="23" t="str">
        <x:v>16:00</x:v>
      </x:c>
      <x:c r="B22" s="24" t="n">
        <x:v>2143</x:v>
      </x:c>
      <x:c r="C22" s="24" t="n">
        <x:v>2</x:v>
      </x:c>
      <x:c r="D22" s="24" t="n">
        <x:f>B22-C22</x:f>
        <x:v>2141</x:v>
      </x:c>
      <x:c r="E22" s="25" t="n">
        <x:f>C22/B22</x:f>
        <x:v>0.0009332711152589828</x:v>
      </x:c>
      <x:c r="F22" s="26" t="n">
        <x:v>1391.04</x:v>
      </x:c>
    </x:row>
    <x:row r="23">
      <x:c r="A23" s="23" t="str">
        <x:v>17:00</x:v>
      </x:c>
      <x:c r="B23" s="24" t="n">
        <x:v>2152</x:v>
      </x:c>
      <x:c r="C23" s="24" t="n">
        <x:v>1</x:v>
      </x:c>
      <x:c r="D23" s="24" t="n">
        <x:f>B23-C23</x:f>
        <x:v>2151</x:v>
      </x:c>
      <x:c r="E23" s="25" t="n">
        <x:f>C23/B23</x:f>
        <x:v>0.00046468401486988845</x:v>
      </x:c>
      <x:c r="F23" s="26" t="n">
        <x:v>23.75</x:v>
      </x:c>
    </x:row>
    <x:row r="24">
      <x:c r="A24" s="23" t="str">
        <x:v>18:00</x:v>
      </x:c>
      <x:c r="B24" s="24" t="n">
        <x:v>2184</x:v>
      </x:c>
      <x:c r="C24" s="24" t="n">
        <x:v>1</x:v>
      </x:c>
      <x:c r="D24" s="24" t="n">
        <x:f>B24-C24</x:f>
        <x:v>2183</x:v>
      </x:c>
      <x:c r="E24" s="25" t="n">
        <x:f>C24/B24</x:f>
        <x:v>0.0004578754578754579</x:v>
      </x:c>
      <x:c r="F24" s="26" t="n">
        <x:v>838.3</x:v>
      </x:c>
    </x:row>
    <x:row r="25">
      <x:c r="A25" s="23" t="str">
        <x:v>19:00</x:v>
      </x:c>
      <x:c r="B25" s="24" t="n">
        <x:v>2132</x:v>
      </x:c>
      <x:c r="C25" s="24" t="n">
        <x:v>2</x:v>
      </x:c>
      <x:c r="D25" s="24" t="n">
        <x:f>B25-C25</x:f>
        <x:v>2130</x:v>
      </x:c>
      <x:c r="E25" s="25" t="n">
        <x:f>C25/B25</x:f>
        <x:v>0.0009380863039399625</x:v>
      </x:c>
      <x:c r="F25" s="26" t="n">
        <x:v>1776.29</x:v>
      </x:c>
    </x:row>
    <x:row r="26">
      <x:c r="A26" s="23" t="str">
        <x:v>20:00</x:v>
      </x:c>
      <x:c r="B26" s="24" t="n">
        <x:v>2055</x:v>
      </x:c>
      <x:c r="C26" s="24" t="n">
        <x:v>2</x:v>
      </x:c>
      <x:c r="D26" s="24" t="n">
        <x:f>B26-C26</x:f>
        <x:v>2053</x:v>
      </x:c>
      <x:c r="E26" s="25" t="n">
        <x:f>C26/B26</x:f>
        <x:v>0.0009732360097323601</x:v>
      </x:c>
      <x:c r="F26" s="26" t="n">
        <x:v>2042.42</x:v>
      </x:c>
    </x:row>
    <x:row r="27">
      <x:c r="A27" s="23" t="str">
        <x:v>21:00</x:v>
      </x:c>
      <x:c r="B27" s="24" t="n">
        <x:v>2140</x:v>
      </x:c>
      <x:c r="C27" s="24" t="n">
        <x:v>1</x:v>
      </x:c>
      <x:c r="D27" s="24" t="n">
        <x:f>B27-C27</x:f>
        <x:v>2139</x:v>
      </x:c>
      <x:c r="E27" s="25" t="n">
        <x:f>C27/B27</x:f>
        <x:v>0.00046728971962616824</x:v>
      </x:c>
      <x:c r="F27" s="26" t="n">
        <x:v>19.03</x:v>
      </x:c>
    </x:row>
    <x:row r="28">
      <x:c r="A28" s="23" t="str">
        <x:v>22:00</x:v>
      </x:c>
      <x:c r="B28" s="24" t="n">
        <x:v>2196</x:v>
      </x:c>
      <x:c r="C28" s="24" t="n">
        <x:v>47</x:v>
      </x:c>
      <x:c r="D28" s="24" t="n">
        <x:f>B28-C28</x:f>
        <x:v>2149</x:v>
      </x:c>
      <x:c r="E28" s="25" t="n">
        <x:f>C28/B28</x:f>
        <x:v>0.021402550091074682</x:v>
      </x:c>
      <x:c r="F28" s="26" t="n">
        <x:v>31737.129999999986</x:v>
      </x:c>
    </x:row>
    <x:row r="29">
      <x:c r="A29" s="23" t="str">
        <x:v>23:00</x:v>
      </x:c>
      <x:c r="B29" s="24" t="n">
        <x:v>2215</x:v>
      </x:c>
      <x:c r="C29" s="24" t="n">
        <x:v>49</x:v>
      </x:c>
      <x:c r="D29" s="24" t="n">
        <x:f>B29-C29</x:f>
        <x:v>2166</x:v>
      </x:c>
      <x:c r="E29" s="25" t="n">
        <x:f>C29/B29</x:f>
        <x:v>0.022121896162528215</x:v>
      </x:c>
      <x:c r="F29" s="26" t="n">
        <x:v>28826.879999999997</x:v>
      </x:c>
    </x:row>
  </x:sheetData>
  <x:mergeCells>
    <x:mergeCell ref="A1:H1"/>
    <x:mergeCell ref="A3:F3"/>
  </x:mergeCells>
  <x:conditionalFormatting sqref="E6:E29">
    <x:cfRule type="dataBar" priority="1">
      <x:dataBar>
        <x:cfvo type="min"/>
        <x:cfvo type="max"/>
        <x:color rgb="FF2563EB"/>
      </x:dataBar>
      <x:extLst>
        <x:ext xmlns:x14="http://schemas.microsoft.com/office/spreadsheetml/2009/9/main" uri="{B025F937-C7B1-47D3-B67F-A62EFF666E3E}">
          <x14:id>{404A2D87-5C34-E7BF-3EFD-30190864B89F}</x14:id>
        </x:ext>
      </x:extLst>
    </x:cfRule>
  </x:conditionalFormatting>
  <x:pageMargins left="0.7" right="0.7" top="0.75" bottom="0.75" header="0.3" footer="0.3"/>
  <x:extLst>
    <x:ext xmlns:x14="http://schemas.microsoft.com/office/spreadsheetml/2009/9/main" xmlns:xm="http://schemas.microsoft.com/office/excel/2006/main" uri="{78C0D931-6437-407d-A8EE-F0AAD7539E65}">
      <x14:conditionalFormattings>
        <x14:conditionalFormatting>
          <x14:cfRule type="dataBar" priority="1" id="{404A2D87-5C34-E7BF-3EFD-30190864B89F}">
            <x14:dataBar gradient="1">
              <x14:cfvo type="min"/>
              <x14:cfvo type="max"/>
              <x14:fillColor rgb="FF2563EB"/>
            </x14:dataBar>
          </x14:cfRule>
          <xm:sqref>E6:E29</xm:sqref>
        </x14:conditionalFormatting>
      </x14:conditionalFormattings>
    </x:ext>
  </x:extLst>
</x:worksheet>
</file>

<file path=xl/worksheets/sheet5.xml><?xml version="1.0" encoding="utf-8"?>
<x:worksheet xmlns:x="http://schemas.openxmlformats.org/spreadsheetml/2006/main">
  <x:sheetViews>
    <x:sheetView showGridLines="0" workbookViewId="0"/>
  </x:sheetViews>
  <x:sheetFormatPr defaultRowHeight="15"/>
  <x:cols>
    <x:col min="1" max="1" width="22" hidden="0" customWidth="1"/>
    <x:col min="2" max="2" width="20" hidden="0" customWidth="1"/>
    <x:col min="3" max="3" width="20" hidden="0" customWidth="1"/>
    <x:col min="4" max="4" width="22" hidden="0" customWidth="1"/>
    <x:col min="5" max="5" width="16" hidden="0" customWidth="1"/>
    <x:col min="6" max="6" width="29" hidden="0" customWidth="1"/>
  </x:cols>
  <x:sheetData>
    <x:row r="1" ht="30" customHeight="1">
      <x:c r="A1" s="3" t="str">
        <x:v>Amount Analysis</x:v>
      </x:c>
      <x:c r="B1" s="3"/>
      <x:c r="C1" s="3"/>
      <x:c r="D1" s="3"/>
      <x:c r="E1" s="3"/>
      <x:c r="F1" s="3"/>
      <x:c r="G1" s="3"/>
      <x:c r="H1" s="3"/>
    </x:row>
    <x:row r="3">
      <x:c r="A3" s="41" t="str">
        <x:v>Dashboard calculation: fraud rate = labelled fraud transactions ÷ all transactions within the amount band.</x:v>
      </x:c>
      <x:c r="B3" s="41"/>
      <x:c r="C3" s="41"/>
      <x:c r="D3" s="41"/>
      <x:c r="E3" s="41"/>
      <x:c r="F3" s="41"/>
    </x:row>
    <x:row r="5" ht="28" customHeight="1">
      <x:c r="A5" s="15" t="str">
        <x:v>Amount band</x:v>
      </x:c>
      <x:c r="B5" s="16" t="str">
        <x:v>Total transactions</x:v>
      </x:c>
      <x:c r="C5" s="16" t="str">
        <x:v>Fraud transactions</x:v>
      </x:c>
      <x:c r="D5" s="16" t="str">
        <x:v>Legitimate transactions</x:v>
      </x:c>
      <x:c r="E5" s="16" t="str">
        <x:v>Fraud rate</x:v>
      </x:c>
      <x:c r="F5" s="17" t="str">
        <x:v>Formula shown in dashboard</x:v>
      </x:c>
    </x:row>
    <x:row r="6">
      <x:c r="A6" s="21" t="str">
        <x:v>$500+</x:v>
      </x:c>
      <x:c r="B6" s="22" t="n">
        <x:v>504</x:v>
      </x:c>
      <x:c r="C6" s="22" t="n">
        <x:v>90</x:v>
      </x:c>
      <x:c r="D6" s="22" t="n">
        <x:f>B6-C6</x:f>
        <x:v>414</x:v>
      </x:c>
      <x:c r="E6" s="48" t="n">
        <x:f>C6/B6</x:f>
        <x:v>0.17857142857142858</x:v>
      </x:c>
      <x:c r="F6" s="21" t="str">
        <x:f>C6&amp;" ÷ "&amp;B6&amp;" = "&amp;TEXT(E6,"0.00%")</x:f>
        <x:v>90 ÷ 504 = 17.86%</x:v>
      </x:c>
    </x:row>
    <x:row r="7">
      <x:c r="A7" s="23" t="str">
        <x:v>$250–$499</x:v>
      </x:c>
      <x:c r="B7" s="24" t="n">
        <x:v>747</x:v>
      </x:c>
      <x:c r="C7" s="24" t="n">
        <x:v>43</x:v>
      </x:c>
      <x:c r="D7" s="24" t="n">
        <x:f>B7-C7</x:f>
        <x:v>704</x:v>
      </x:c>
      <x:c r="E7" s="43" t="n">
        <x:f>C7/B7</x:f>
        <x:v>0.05756358768406961</x:v>
      </x:c>
      <x:c r="F7" s="23" t="str">
        <x:f>C7&amp;" ÷ "&amp;B7&amp;" = "&amp;TEXT(E7,"0.00%")</x:f>
        <x:v>43 ÷ 747 = 5.76%</x:v>
      </x:c>
    </x:row>
    <x:row r="8">
      <x:c r="A8" s="23" t="str">
        <x:v>$100–$249</x:v>
      </x:c>
      <x:c r="B8" s="24" t="n">
        <x:v>6330</x:v>
      </x:c>
      <x:c r="C8" s="24" t="n">
        <x:v>7</x:v>
      </x:c>
      <x:c r="D8" s="24" t="n">
        <x:f>B8-C8</x:f>
        <x:v>6323</x:v>
      </x:c>
      <x:c r="E8" s="43" t="n">
        <x:f>C8/B8</x:f>
        <x:v>0.0011058451816745656</x:v>
      </x:c>
      <x:c r="F8" s="23" t="str">
        <x:f>C8&amp;" ÷ "&amp;B8&amp;" = "&amp;TEXT(E8,"0.00%")</x:f>
        <x:v>7 ÷ 6330 = 0.11%</x:v>
      </x:c>
    </x:row>
    <x:row r="9">
      <x:c r="A9" s="23" t="str">
        <x:v>$50–$99</x:v>
      </x:c>
      <x:c r="B9" s="24" t="n">
        <x:v>12770</x:v>
      </x:c>
      <x:c r="C9" s="24" t="n">
        <x:v>1</x:v>
      </x:c>
      <x:c r="D9" s="24" t="n">
        <x:f>B9-C9</x:f>
        <x:v>12769</x:v>
      </x:c>
      <x:c r="E9" s="43" t="n">
        <x:f>C9/B9</x:f>
        <x:v>0.00007830853563038371</x:v>
      </x:c>
      <x:c r="F9" s="23" t="str">
        <x:f>C9&amp;" ÷ "&amp;B9&amp;" = "&amp;TEXT(E9,"0.00%")</x:f>
        <x:v>1 ÷ 12770 = 0.01%</x:v>
      </x:c>
    </x:row>
    <x:row r="10">
      <x:c r="A10" s="23" t="str">
        <x:v>$25–$49</x:v>
      </x:c>
      <x:c r="B10" s="24" t="n">
        <x:v>6870</x:v>
      </x:c>
      <x:c r="C10" s="24" t="n">
        <x:v>1</x:v>
      </x:c>
      <x:c r="D10" s="24" t="n">
        <x:f>B10-C10</x:f>
        <x:v>6869</x:v>
      </x:c>
      <x:c r="E10" s="43" t="n">
        <x:f>C10/B10</x:f>
        <x:v>0.0001455604075691412</x:v>
      </x:c>
      <x:c r="F10" s="23" t="str">
        <x:f>C10&amp;" ÷ "&amp;B10&amp;" = "&amp;TEXT(E10,"0.00%")</x:f>
        <x:v>1 ÷ 6870 = 0.01%</x:v>
      </x:c>
    </x:row>
    <x:row r="11">
      <x:c r="A11" s="23" t="str">
        <x:v>Under $25</x:v>
      </x:c>
      <x:c r="B11" s="24" t="n">
        <x:v>15087</x:v>
      </x:c>
      <x:c r="C11" s="24" t="n">
        <x:v>38</x:v>
      </x:c>
      <x:c r="D11" s="24" t="n">
        <x:f>B11-C11</x:f>
        <x:v>15049</x:v>
      </x:c>
      <x:c r="E11" s="43" t="n">
        <x:f>C11/B11</x:f>
        <x:v>0.002518724729899914</x:v>
      </x:c>
      <x:c r="F11" s="23" t="str">
        <x:f>C11&amp;" ÷ "&amp;B11&amp;" = "&amp;TEXT(E11,"0.00%")</x:f>
        <x:v>38 ÷ 15087 = 0.25%</x:v>
      </x:c>
    </x:row>
    <x:row r="14">
      <x:c r="A14" s="29" t="str">
        <x:v>Verification examples</x:v>
      </x:c>
      <x:c r="B14" s="29"/>
      <x:c r="C14" s="29"/>
      <x:c r="D14" s="29"/>
      <x:c r="E14" s="29"/>
      <x:c r="F14" s="29"/>
    </x:row>
    <x:row r="15">
      <x:c r="A15" s="31" t="str">
        <x:v>$500+</x:v>
      </x:c>
      <x:c r="B15" t="str">
        <x:v>90 ÷ 504 = 17.86%</x:v>
      </x:c>
    </x:row>
    <x:row r="16">
      <x:c r="A16" s="31" t="str">
        <x:v>$250–$499</x:v>
      </x:c>
      <x:c r="B16" t="str">
        <x:v>43 ÷ 747 = 5.76%</x:v>
      </x:c>
    </x:row>
    <x:row r="17">
      <x:c r="A17" s="31" t="str">
        <x:v>Below $250</x:v>
      </x:c>
      <x:c r="B17" t="str">
        <x:v>Every amount band is below 0.26%</x:v>
      </x:c>
    </x:row>
  </x:sheetData>
  <x:mergeCells>
    <x:mergeCell ref="A1:H1"/>
    <x:mergeCell ref="A3:F3"/>
    <x:mergeCell ref="A14:F14"/>
  </x:mergeCells>
  <x:conditionalFormatting sqref="E6:E11">
    <x:cfRule type="dataBar" priority="1">
      <x:dataBar>
        <x:cfvo type="min"/>
        <x:cfvo type="max"/>
        <x:color rgb="FFC2415D"/>
      </x:dataBar>
      <x:extLst>
        <x:ext xmlns:x14="http://schemas.microsoft.com/office/spreadsheetml/2009/9/main" uri="{B025F937-C7B1-47D3-B67F-A62EFF666E3E}">
          <x14:id>{EC6717D2-B798-4C09-74A0-9009DE957001}</x14:id>
        </x:ext>
      </x:extLst>
    </x:cfRule>
  </x:conditionalFormatting>
  <x:pageMargins left="0.7" right="0.7" top="0.75" bottom="0.75" header="0.3" footer="0.3"/>
  <x:extLst>
    <x:ext xmlns:x14="http://schemas.microsoft.com/office/spreadsheetml/2009/9/main" xmlns:xm="http://schemas.microsoft.com/office/excel/2006/main" uri="{78C0D931-6437-407d-A8EE-F0AAD7539E65}">
      <x14:conditionalFormattings>
        <x14:conditionalFormatting>
          <x14:cfRule type="dataBar" priority="1" id="{EC6717D2-B798-4C09-74A0-9009DE957001}">
            <x14:dataBar gradient="1">
              <x14:cfvo type="min"/>
              <x14:cfvo type="max"/>
              <x14:fillColor rgb="FFC2415D"/>
            </x14:dataBar>
          </x14:cfRule>
          <xm:sqref>E6:E11</xm:sqref>
        </x14:conditionalFormatting>
      </x14:conditionalFormattings>
    </x:ext>
  </x:extLst>
</x:worksheet>
</file>

<file path=xl/worksheets/sheet6.xml><?xml version="1.0" encoding="utf-8"?>
<x:worksheet xmlns:x="http://schemas.openxmlformats.org/spreadsheetml/2006/main">
  <x:sheetViews>
    <x:sheetView showGridLines="0" workbookViewId="0"/>
  </x:sheetViews>
  <x:sheetFormatPr defaultRowHeight="15"/>
  <x:cols>
    <x:col min="1" max="1" width="12" hidden="0" customWidth="1"/>
    <x:col min="2" max="2" width="20" hidden="0" customWidth="1"/>
    <x:col min="3" max="3" width="20" hidden="0" customWidth="1"/>
    <x:col min="4" max="4" width="22" hidden="0" customWidth="1"/>
    <x:col min="5" max="5" width="16" hidden="0" customWidth="1"/>
    <x:col min="6" max="6" width="25" hidden="0" customWidth="1"/>
  </x:cols>
  <x:sheetData>
    <x:row r="1" ht="30" customHeight="1">
      <x:c r="A1" s="3" t="str">
        <x:v>State Analysis</x:v>
      </x:c>
      <x:c r="B1" s="3"/>
      <x:c r="C1" s="3"/>
      <x:c r="D1" s="3"/>
      <x:c r="E1" s="3"/>
      <x:c r="F1" s="3"/>
      <x:c r="G1" s="3"/>
      <x:c r="H1" s="3"/>
    </x:row>
    <x:row r="3">
      <x:c r="A3" s="28" t="str">
        <x:v>Selected minimum volume</x:v>
      </x:c>
      <x:c r="B3" t="n">
        <x:v>100</x:v>
      </x:c>
    </x:row>
    <x:row r="4">
      <x:c r="A4" s="28" t="str">
        <x:v>Dashboard rule</x:v>
      </x:c>
      <x:c r="B4" s="51" t="str">
        <x:v>Filter all states by volume, sort qualifying states by fraud rate descending, display top 10</x:v>
      </x:c>
      <x:c r="C4" s="51"/>
      <x:c r="D4" s="51"/>
      <x:c r="E4" s="51"/>
      <x:c r="F4" s="51"/>
    </x:row>
    <x:row r="6" ht="28" customHeight="1">
      <x:c r="A6" s="15" t="str">
        <x:v>State</x:v>
      </x:c>
      <x:c r="B6" s="16" t="str">
        <x:v>Total transactions</x:v>
      </x:c>
      <x:c r="C6" s="16" t="str">
        <x:v>Fraud transactions</x:v>
      </x:c>
      <x:c r="D6" s="16" t="str">
        <x:v>Legitimate transactions</x:v>
      </x:c>
      <x:c r="E6" s="16" t="str">
        <x:v>Fraud rate</x:v>
      </x:c>
      <x:c r="F6" s="17" t="str">
        <x:v>Meets selected minimum?</x:v>
      </x:c>
    </x:row>
    <x:row r="7">
      <x:c r="A7" s="21" t="str">
        <x:v>NV</x:v>
      </x:c>
      <x:c r="B7" s="22" t="n">
        <x:v>192</x:v>
      </x:c>
      <x:c r="C7" s="22" t="n">
        <x:v>4</x:v>
      </x:c>
      <x:c r="D7" s="22" t="n">
        <x:f>B7-C7</x:f>
        <x:v>188</x:v>
      </x:c>
      <x:c r="E7" s="46" t="n">
        <x:f>C7/B7</x:f>
        <x:v>0.020833333333333332</x:v>
      </x:c>
      <x:c r="F7" s="21" t="str">
        <x:f>IF(B7&gt;=$B$3,"Yes","No")</x:f>
        <x:v>Yes</x:v>
      </x:c>
    </x:row>
    <x:row r="8">
      <x:c r="A8" s="23" t="str">
        <x:v>TN</x:v>
      </x:c>
      <x:c r="B8" s="24" t="n">
        <x:v>568</x:v>
      </x:c>
      <x:c r="C8" s="24" t="n">
        <x:v>9</x:v>
      </x:c>
      <x:c r="D8" s="24" t="n">
        <x:f>B8-C8</x:f>
        <x:v>559</x:v>
      </x:c>
      <x:c r="E8" s="25" t="n">
        <x:f>C8/B8</x:f>
        <x:v>0.01584507042253521</x:v>
      </x:c>
      <x:c r="F8" s="23" t="str">
        <x:f>IF(B8&gt;=$B$3,"Yes","No")</x:f>
        <x:v>Yes</x:v>
      </x:c>
    </x:row>
    <x:row r="9">
      <x:c r="A9" s="23" t="str">
        <x:v>WV</x:v>
      </x:c>
      <x:c r="B9" s="24" t="n">
        <x:v>802</x:v>
      </x:c>
      <x:c r="C9" s="24" t="n">
        <x:v>12</x:v>
      </x:c>
      <x:c r="D9" s="24" t="n">
        <x:f>B9-C9</x:f>
        <x:v>790</x:v>
      </x:c>
      <x:c r="E9" s="25" t="n">
        <x:f>C9/B9</x:f>
        <x:v>0.014962593516209476</x:v>
      </x:c>
      <x:c r="F9" s="23" t="str">
        <x:f>IF(B9&gt;=$B$3,"Yes","No")</x:f>
        <x:v>Yes</x:v>
      </x:c>
    </x:row>
    <x:row r="10">
      <x:c r="A10" s="23" t="str">
        <x:v>CO</x:v>
      </x:c>
      <x:c r="B10" s="24" t="n">
        <x:v>419</x:v>
      </x:c>
      <x:c r="C10" s="24" t="n">
        <x:v>6</x:v>
      </x:c>
      <x:c r="D10" s="24" t="n">
        <x:f>B10-C10</x:f>
        <x:v>413</x:v>
      </x:c>
      <x:c r="E10" s="25" t="n">
        <x:f>C10/B10</x:f>
        <x:v>0.014319809069212411</x:v>
      </x:c>
      <x:c r="F10" s="23" t="str">
        <x:f>IF(B10&gt;=$B$3,"Yes","No")</x:f>
        <x:v>Yes</x:v>
      </x:c>
    </x:row>
    <x:row r="11">
      <x:c r="A11" s="23" t="str">
        <x:v>OK</x:v>
      </x:c>
      <x:c r="B11" s="24" t="n">
        <x:v>896</x:v>
      </x:c>
      <x:c r="C11" s="24" t="n">
        <x:v>10</x:v>
      </x:c>
      <x:c r="D11" s="24" t="n">
        <x:f>B11-C11</x:f>
        <x:v>886</x:v>
      </x:c>
      <x:c r="E11" s="25" t="n">
        <x:f>C11/B11</x:f>
        <x:v>0.011160714285714286</x:v>
      </x:c>
      <x:c r="F11" s="23" t="str">
        <x:f>IF(B11&gt;=$B$3,"Yes","No")</x:f>
        <x:v>Yes</x:v>
      </x:c>
    </x:row>
    <x:row r="12">
      <x:c r="A12" s="23" t="str">
        <x:v>OH</x:v>
      </x:c>
      <x:c r="B12" s="24" t="n">
        <x:v>1520</x:v>
      </x:c>
      <x:c r="C12" s="24" t="n">
        <x:v>14</x:v>
      </x:c>
      <x:c r="D12" s="24" t="n">
        <x:f>B12-C12</x:f>
        <x:v>1506</x:v>
      </x:c>
      <x:c r="E12" s="25" t="n">
        <x:f>C12/B12</x:f>
        <x:v>0.009210526315789473</x:v>
      </x:c>
      <x:c r="F12" s="23" t="str">
        <x:f>IF(B12&gt;=$B$3,"Yes","No")</x:f>
        <x:v>Yes</x:v>
      </x:c>
    </x:row>
    <x:row r="13">
      <x:c r="A13" s="23" t="str">
        <x:v>NE</x:v>
      </x:c>
      <x:c r="B13" s="24" t="n">
        <x:v>813</x:v>
      </x:c>
      <x:c r="C13" s="24" t="n">
        <x:v>7</x:v>
      </x:c>
      <x:c r="D13" s="24" t="n">
        <x:f>B13-C13</x:f>
        <x:v>806</x:v>
      </x:c>
      <x:c r="E13" s="25" t="n">
        <x:f>C13/B13</x:f>
        <x:v>0.008610086100861008</x:v>
      </x:c>
      <x:c r="F13" s="23" t="str">
        <x:f>IF(B13&gt;=$B$3,"Yes","No")</x:f>
        <x:v>Yes</x:v>
      </x:c>
    </x:row>
    <x:row r="14">
      <x:c r="A14" s="23" t="str">
        <x:v>GA</x:v>
      </x:c>
      <x:c r="B14" s="24" t="n">
        <x:v>891</x:v>
      </x:c>
      <x:c r="C14" s="24" t="n">
        <x:v>7</x:v>
      </x:c>
      <x:c r="D14" s="24" t="n">
        <x:f>B14-C14</x:f>
        <x:v>884</x:v>
      </x:c>
      <x:c r="E14" s="25" t="n">
        <x:f>C14/B14</x:f>
        <x:v>0.007856341189674524</x:v>
      </x:c>
      <x:c r="F14" s="23" t="str">
        <x:f>IF(B14&gt;=$B$3,"Yes","No")</x:f>
        <x:v>Yes</x:v>
      </x:c>
    </x:row>
    <x:row r="15">
      <x:c r="A15" s="23" t="str">
        <x:v>IL</x:v>
      </x:c>
      <x:c r="B15" s="24" t="n">
        <x:v>1414</x:v>
      </x:c>
      <x:c r="C15" s="24" t="n">
        <x:v>11</x:v>
      </x:c>
      <x:c r="D15" s="24" t="n">
        <x:f>B15-C15</x:f>
        <x:v>1403</x:v>
      </x:c>
      <x:c r="E15" s="25" t="n">
        <x:f>C15/B15</x:f>
        <x:v>0.007779349363507779</x:v>
      </x:c>
      <x:c r="F15" s="23" t="str">
        <x:f>IF(B15&gt;=$B$3,"Yes","No")</x:f>
        <x:v>Yes</x:v>
      </x:c>
    </x:row>
    <x:row r="16">
      <x:c r="A16" s="23" t="str">
        <x:v>AR</x:v>
      </x:c>
      <x:c r="B16" s="24" t="n">
        <x:v>1046</x:v>
      </x:c>
      <x:c r="C16" s="24" t="n">
        <x:v>7</x:v>
      </x:c>
      <x:c r="D16" s="24" t="n">
        <x:f>B16-C16</x:f>
        <x:v>1039</x:v>
      </x:c>
      <x:c r="E16" s="25" t="n">
        <x:f>C16/B16</x:f>
        <x:v>0.006692160611854685</x:v>
      </x:c>
      <x:c r="F16" s="23" t="str">
        <x:f>IF(B16&gt;=$B$3,"Yes","No")</x:f>
        <x:v>Yes</x:v>
      </x:c>
    </x:row>
    <x:row r="17">
      <x:c r="A17" s="23" t="str">
        <x:v>PA</x:v>
      </x:c>
      <x:c r="B17" s="24" t="n">
        <x:v>2585</x:v>
      </x:c>
      <x:c r="C17" s="24" t="n">
        <x:v>17</x:v>
      </x:c>
      <x:c r="D17" s="24" t="n">
        <x:f>B17-C17</x:f>
        <x:v>2568</x:v>
      </x:c>
      <x:c r="E17" s="25" t="n">
        <x:f>C17/B17</x:f>
        <x:v>0.0065764023210831725</x:v>
      </x:c>
      <x:c r="F17" s="23" t="str">
        <x:f>IF(B17&gt;=$B$3,"Yes","No")</x:f>
        <x:v>Yes</x:v>
      </x:c>
    </x:row>
    <x:row r="18">
      <x:c r="A18" s="23" t="str">
        <x:v>WY</x:v>
      </x:c>
      <x:c r="B18" s="24" t="n">
        <x:v>628</x:v>
      </x:c>
      <x:c r="C18" s="24" t="n">
        <x:v>4</x:v>
      </x:c>
      <x:c r="D18" s="24" t="n">
        <x:f>B18-C18</x:f>
        <x:v>624</x:v>
      </x:c>
      <x:c r="E18" s="25" t="n">
        <x:f>C18/B18</x:f>
        <x:v>0.006369426751592357</x:v>
      </x:c>
      <x:c r="F18" s="23" t="str">
        <x:f>IF(B18&gt;=$B$3,"Yes","No")</x:f>
        <x:v>Yes</x:v>
      </x:c>
    </x:row>
    <x:row r="19">
      <x:c r="A19" s="23" t="str">
        <x:v>MO</x:v>
      </x:c>
      <x:c r="B19" s="24" t="n">
        <x:v>1265</x:v>
      </x:c>
      <x:c r="C19" s="24" t="n">
        <x:v>8</x:v>
      </x:c>
      <x:c r="D19" s="24" t="n">
        <x:f>B19-C19</x:f>
        <x:v>1257</x:v>
      </x:c>
      <x:c r="E19" s="25" t="n">
        <x:f>C19/B19</x:f>
        <x:v>0.006324110671936759</x:v>
      </x:c>
      <x:c r="F19" s="23" t="str">
        <x:f>IF(B19&gt;=$B$3,"Yes","No")</x:f>
        <x:v>Yes</x:v>
      </x:c>
    </x:row>
    <x:row r="20">
      <x:c r="A20" s="23" t="str">
        <x:v>AL</x:v>
      </x:c>
      <x:c r="B20" s="24" t="n">
        <x:v>1314</x:v>
      </x:c>
      <x:c r="C20" s="24" t="n">
        <x:v>8</x:v>
      </x:c>
      <x:c r="D20" s="24" t="n">
        <x:f>B20-C20</x:f>
        <x:v>1306</x:v>
      </x:c>
      <x:c r="E20" s="25" t="n">
        <x:f>C20/B20</x:f>
        <x:v>0.0060882800608828</x:v>
      </x:c>
      <x:c r="F20" s="23" t="str">
        <x:f>IF(B20&gt;=$B$3,"Yes","No")</x:f>
        <x:v>Yes</x:v>
      </x:c>
    </x:row>
    <x:row r="21">
      <x:c r="A21" s="23" t="str">
        <x:v>NM</x:v>
      </x:c>
      <x:c r="B21" s="24" t="n">
        <x:v>536</x:v>
      </x:c>
      <x:c r="C21" s="24" t="n">
        <x:v>3</x:v>
      </x:c>
      <x:c r="D21" s="24" t="n">
        <x:f>B21-C21</x:f>
        <x:v>533</x:v>
      </x:c>
      <x:c r="E21" s="25" t="n">
        <x:f>C21/B21</x:f>
        <x:v>0.005597014925373134</x:v>
      </x:c>
      <x:c r="F21" s="23" t="str">
        <x:f>IF(B21&gt;=$B$3,"Yes","No")</x:f>
        <x:v>Yes</x:v>
      </x:c>
    </x:row>
    <x:row r="22">
      <x:c r="A22" s="23" t="str">
        <x:v>TX</x:v>
      </x:c>
      <x:c r="B22" s="24" t="n">
        <x:v>3111</x:v>
      </x:c>
      <x:c r="C22" s="24" t="n">
        <x:v>16</x:v>
      </x:c>
      <x:c r="D22" s="24" t="n">
        <x:f>B22-C22</x:f>
        <x:v>3095</x:v>
      </x:c>
      <x:c r="E22" s="25" t="n">
        <x:f>C22/B22</x:f>
        <x:v>0.005143040822886531</x:v>
      </x:c>
      <x:c r="F22" s="23" t="str">
        <x:f>IF(B22&gt;=$B$3,"Yes","No")</x:f>
        <x:v>Yes</x:v>
      </x:c>
    </x:row>
    <x:row r="23">
      <x:c r="A23" s="23" t="str">
        <x:v>VA</x:v>
      </x:c>
      <x:c r="B23" s="24" t="n">
        <x:v>896</x:v>
      </x:c>
      <x:c r="C23" s="24" t="n">
        <x:v>4</x:v>
      </x:c>
      <x:c r="D23" s="24" t="n">
        <x:f>B23-C23</x:f>
        <x:v>892</x:v>
      </x:c>
      <x:c r="E23" s="25" t="n">
        <x:f>C23/B23</x:f>
        <x:v>0.004464285714285714</x:v>
      </x:c>
      <x:c r="F23" s="23" t="str">
        <x:f>IF(B23&gt;=$B$3,"Yes","No")</x:f>
        <x:v>Yes</x:v>
      </x:c>
    </x:row>
    <x:row r="24">
      <x:c r="A24" s="23" t="str">
        <x:v>WI</x:v>
      </x:c>
      <x:c r="B24" s="24" t="n">
        <x:v>976</x:v>
      </x:c>
      <x:c r="C24" s="24" t="n">
        <x:v>4</x:v>
      </x:c>
      <x:c r="D24" s="24" t="n">
        <x:f>B24-C24</x:f>
        <x:v>972</x:v>
      </x:c>
      <x:c r="E24" s="25" t="n">
        <x:f>C24/B24</x:f>
        <x:v>0.004098360655737705</x:v>
      </x:c>
      <x:c r="F24" s="23" t="str">
        <x:f>IF(B24&gt;=$B$3,"Yes","No")</x:f>
        <x:v>Yes</x:v>
      </x:c>
    </x:row>
    <x:row r="25">
      <x:c r="A25" s="23" t="str">
        <x:v>KS</x:v>
      </x:c>
      <x:c r="B25" s="24" t="n">
        <x:v>736</x:v>
      </x:c>
      <x:c r="C25" s="24" t="n">
        <x:v>3</x:v>
      </x:c>
      <x:c r="D25" s="24" t="n">
        <x:f>B25-C25</x:f>
        <x:v>733</x:v>
      </x:c>
      <x:c r="E25" s="25" t="n">
        <x:f>C25/B25</x:f>
        <x:v>0.004076086956521739</x:v>
      </x:c>
      <x:c r="F25" s="23" t="str">
        <x:f>IF(B25&gt;=$B$3,"Yes","No")</x:f>
        <x:v>Yes</x:v>
      </x:c>
    </x:row>
    <x:row r="26">
      <x:c r="A26" s="23" t="str">
        <x:v>MI</x:v>
      </x:c>
      <x:c r="B26" s="24" t="n">
        <x:v>1509</x:v>
      </x:c>
      <x:c r="C26" s="24" t="n">
        <x:v>6</x:v>
      </x:c>
      <x:c r="D26" s="24" t="n">
        <x:f>B26-C26</x:f>
        <x:v>1503</x:v>
      </x:c>
      <x:c r="E26" s="25" t="n">
        <x:f>C26/B26</x:f>
        <x:v>0.003976143141153081</x:v>
      </x:c>
      <x:c r="F26" s="23" t="str">
        <x:f>IF(B26&gt;=$B$3,"Yes","No")</x:f>
        <x:v>Yes</x:v>
      </x:c>
    </x:row>
    <x:row r="27">
      <x:c r="A27" s="23" t="str">
        <x:v>NH</x:v>
      </x:c>
      <x:c r="B27" s="24" t="n">
        <x:v>265</x:v>
      </x:c>
      <x:c r="C27" s="24" t="n">
        <x:v>1</x:v>
      </x:c>
      <x:c r="D27" s="24" t="n">
        <x:f>B27-C27</x:f>
        <x:v>264</x:v>
      </x:c>
      <x:c r="E27" s="25" t="n">
        <x:f>C27/B27</x:f>
        <x:v>0.0037735849056603774</x:v>
      </x:c>
      <x:c r="F27" s="23" t="str">
        <x:f>IF(B27&gt;=$B$3,"Yes","No")</x:f>
        <x:v>Yes</x:v>
      </x:c>
    </x:row>
    <x:row r="28">
      <x:c r="A28" s="23" t="str">
        <x:v>IN</x:v>
      </x:c>
      <x:c r="B28" s="24" t="n">
        <x:v>876</x:v>
      </x:c>
      <x:c r="C28" s="24" t="n">
        <x:v>3</x:v>
      </x:c>
      <x:c r="D28" s="24" t="n">
        <x:f>B28-C28</x:f>
        <x:v>873</x:v>
      </x:c>
      <x:c r="E28" s="25" t="n">
        <x:f>C28/B28</x:f>
        <x:v>0.003424657534246575</x:v>
      </x:c>
      <x:c r="F28" s="23" t="str">
        <x:f>IF(B28&gt;=$B$3,"Yes","No")</x:f>
        <x:v>Yes</x:v>
      </x:c>
    </x:row>
    <x:row r="29">
      <x:c r="A29" s="23" t="str">
        <x:v>SC</x:v>
      </x:c>
      <x:c r="B29" s="24" t="n">
        <x:v>907</x:v>
      </x:c>
      <x:c r="C29" s="24" t="n">
        <x:v>3</x:v>
      </x:c>
      <x:c r="D29" s="24" t="n">
        <x:f>B29-C29</x:f>
        <x:v>904</x:v>
      </x:c>
      <x:c r="E29" s="25" t="n">
        <x:f>C29/B29</x:f>
        <x:v>0.0033076074972436605</x:v>
      </x:c>
      <x:c r="F29" s="23" t="str">
        <x:f>IF(B29&gt;=$B$3,"Yes","No")</x:f>
        <x:v>Yes</x:v>
      </x:c>
    </x:row>
    <x:row r="30">
      <x:c r="A30" s="23" t="str">
        <x:v>KY</x:v>
      </x:c>
      <x:c r="B30" s="24" t="n">
        <x:v>961</x:v>
      </x:c>
      <x:c r="C30" s="24" t="n">
        <x:v>3</x:v>
      </x:c>
      <x:c r="D30" s="24" t="n">
        <x:f>B30-C30</x:f>
        <x:v>958</x:v>
      </x:c>
      <x:c r="E30" s="25" t="n">
        <x:f>C30/B30</x:f>
        <x:v>0.003121748178980229</x:v>
      </x:c>
      <x:c r="F30" s="23" t="str">
        <x:f>IF(B30&gt;=$B$3,"Yes","No")</x:f>
        <x:v>Yes</x:v>
      </x:c>
    </x:row>
    <x:row r="31">
      <x:c r="A31" s="23" t="str">
        <x:v>MN</x:v>
      </x:c>
      <x:c r="B31" s="24" t="n">
        <x:v>1016</x:v>
      </x:c>
      <x:c r="C31" s="24" t="n">
        <x:v>3</x:v>
      </x:c>
      <x:c r="D31" s="24" t="n">
        <x:f>B31-C31</x:f>
        <x:v>1013</x:v>
      </x:c>
      <x:c r="E31" s="25" t="n">
        <x:f>C31/B31</x:f>
        <x:v>0.002952755905511811</x:v>
      </x:c>
      <x:c r="F31" s="23" t="str">
        <x:f>IF(B31&gt;=$B$3,"Yes","No")</x:f>
        <x:v>Yes</x:v>
      </x:c>
    </x:row>
    <x:row r="32">
      <x:c r="A32" s="23" t="str">
        <x:v>MS</x:v>
      </x:c>
      <x:c r="B32" s="24" t="n">
        <x:v>689</x:v>
      </x:c>
      <x:c r="C32" s="24" t="n">
        <x:v>2</x:v>
      </x:c>
      <x:c r="D32" s="24" t="n">
        <x:f>B32-C32</x:f>
        <x:v>687</x:v>
      </x:c>
      <x:c r="E32" s="25" t="n">
        <x:f>C32/B32</x:f>
        <x:v>0.002902757619738752</x:v>
      </x:c>
      <x:c r="F32" s="23" t="str">
        <x:f>IF(B32&gt;=$B$3,"Yes","No")</x:f>
        <x:v>Yes</x:v>
      </x:c>
    </x:row>
    <x:row r="33">
      <x:c r="A33" s="23" t="str">
        <x:v>ND</x:v>
      </x:c>
      <x:c r="B33" s="24" t="n">
        <x:v>475</x:v>
      </x:c>
      <x:c r="C33" s="24" t="n">
        <x:v>1</x:v>
      </x:c>
      <x:c r="D33" s="24" t="n">
        <x:f>B33-C33</x:f>
        <x:v>474</x:v>
      </x:c>
      <x:c r="E33" s="25" t="n">
        <x:f>C33/B33</x:f>
        <x:v>0.002105263157894737</x:v>
      </x:c>
      <x:c r="F33" s="23" t="str">
        <x:f>IF(B33&gt;=$B$3,"Yes","No")</x:f>
        <x:v>Yes</x:v>
      </x:c>
    </x:row>
    <x:row r="34">
      <x:c r="A34" s="23" t="str">
        <x:v>CA</x:v>
      </x:c>
      <x:c r="B34" s="24" t="n">
        <x:v>1871</x:v>
      </x:c>
      <x:c r="C34" s="24" t="n">
        <x:v>3</x:v>
      </x:c>
      <x:c r="D34" s="24" t="n">
        <x:f>B34-C34</x:f>
        <x:v>1868</x:v>
      </x:c>
      <x:c r="E34" s="25" t="n">
        <x:f>C34/B34</x:f>
        <x:v>0.0016034206306787815</x:v>
      </x:c>
      <x:c r="F34" s="23" t="str">
        <x:f>IF(B34&gt;=$B$3,"Yes","No")</x:f>
        <x:v>Yes</x:v>
      </x:c>
    </x:row>
    <x:row r="35">
      <x:c r="A35" s="23" t="str">
        <x:v>FL</x:v>
      </x:c>
      <x:c r="B35" s="24" t="n">
        <x:v>1451</x:v>
      </x:c>
      <x:c r="C35" s="24" t="n">
        <x:v>1</x:v>
      </x:c>
      <x:c r="D35" s="24" t="n">
        <x:f>B35-C35</x:f>
        <x:v>1450</x:v>
      </x:c>
      <x:c r="E35" s="25" t="n">
        <x:f>C35/B35</x:f>
        <x:v>0.0006891798759476223</x:v>
      </x:c>
      <x:c r="F35" s="23" t="str">
        <x:f>IF(B35&gt;=$B$3,"Yes","No")</x:f>
        <x:v>Yes</x:v>
      </x:c>
    </x:row>
    <x:row r="36">
      <x:c r="A36" s="23" t="str">
        <x:v>NY</x:v>
      </x:c>
      <x:c r="B36" s="24" t="n">
        <x:v>2801</x:v>
      </x:c>
      <x:c r="C36" s="24" t="n">
        <x:v>0</x:v>
      </x:c>
      <x:c r="D36" s="24" t="n">
        <x:f>B36-C36</x:f>
        <x:v>2801</x:v>
      </x:c>
      <x:c r="E36" s="25" t="n">
        <x:f>C36/B36</x:f>
        <x:v>0</x:v>
      </x:c>
      <x:c r="F36" s="23" t="str">
        <x:f>IF(B36&gt;=$B$3,"Yes","No")</x:f>
        <x:v>Yes</x:v>
      </x:c>
    </x:row>
    <x:row r="37">
      <x:c r="A37" s="23" t="str">
        <x:v>NC</x:v>
      </x:c>
      <x:c r="B37" s="24" t="n">
        <x:v>1013</x:v>
      </x:c>
      <x:c r="C37" s="24" t="n">
        <x:v>0</x:v>
      </x:c>
      <x:c r="D37" s="24" t="n">
        <x:f>B37-C37</x:f>
        <x:v>1013</x:v>
      </x:c>
      <x:c r="E37" s="25" t="n">
        <x:f>C37/B37</x:f>
        <x:v>0</x:v>
      </x:c>
      <x:c r="F37" s="23" t="str">
        <x:f>IF(B37&gt;=$B$3,"Yes","No")</x:f>
        <x:v>Yes</x:v>
      </x:c>
    </x:row>
    <x:row r="38">
      <x:c r="A38" s="23" t="str">
        <x:v>IA</x:v>
      </x:c>
      <x:c r="B38" s="24" t="n">
        <x:v>879</x:v>
      </x:c>
      <x:c r="C38" s="24" t="n">
        <x:v>0</x:v>
      </x:c>
      <x:c r="D38" s="24" t="n">
        <x:f>B38-C38</x:f>
        <x:v>879</x:v>
      </x:c>
      <x:c r="E38" s="25" t="n">
        <x:f>C38/B38</x:f>
        <x:v>0</x:v>
      </x:c>
      <x:c r="F38" s="23" t="str">
        <x:f>IF(B38&gt;=$B$3,"Yes","No")</x:f>
        <x:v>Yes</x:v>
      </x:c>
    </x:row>
    <x:row r="39">
      <x:c r="A39" s="23" t="str">
        <x:v>MD</x:v>
      </x:c>
      <x:c r="B39" s="24" t="n">
        <x:v>876</x:v>
      </x:c>
      <x:c r="C39" s="24" t="n">
        <x:v>0</x:v>
      </x:c>
      <x:c r="D39" s="24" t="n">
        <x:f>B39-C39</x:f>
        <x:v>876</x:v>
      </x:c>
      <x:c r="E39" s="25" t="n">
        <x:f>C39/B39</x:f>
        <x:v>0</x:v>
      </x:c>
      <x:c r="F39" s="23" t="str">
        <x:f>IF(B39&gt;=$B$3,"Yes","No")</x:f>
        <x:v>Yes</x:v>
      </x:c>
    </x:row>
    <x:row r="40">
      <x:c r="A40" s="23" t="str">
        <x:v>NJ</x:v>
      </x:c>
      <x:c r="B40" s="24" t="n">
        <x:v>739</x:v>
      </x:c>
      <x:c r="C40" s="24" t="n">
        <x:v>0</x:v>
      </x:c>
      <x:c r="D40" s="24" t="n">
        <x:f>B40-C40</x:f>
        <x:v>739</x:v>
      </x:c>
      <x:c r="E40" s="25" t="n">
        <x:f>C40/B40</x:f>
        <x:v>0</x:v>
      </x:c>
      <x:c r="F40" s="23" t="str">
        <x:f>IF(B40&gt;=$B$3,"Yes","No")</x:f>
        <x:v>Yes</x:v>
      </x:c>
    </x:row>
    <x:row r="41">
      <x:c r="A41" s="23" t="str">
        <x:v>LA</x:v>
      </x:c>
      <x:c r="B41" s="24" t="n">
        <x:v>650</x:v>
      </x:c>
      <x:c r="C41" s="24" t="n">
        <x:v>0</x:v>
      </x:c>
      <x:c r="D41" s="24" t="n">
        <x:f>B41-C41</x:f>
        <x:v>650</x:v>
      </x:c>
      <x:c r="E41" s="25" t="n">
        <x:f>C41/B41</x:f>
        <x:v>0</x:v>
      </x:c>
      <x:c r="F41" s="23" t="str">
        <x:f>IF(B41&gt;=$B$3,"Yes","No")</x:f>
        <x:v>Yes</x:v>
      </x:c>
    </x:row>
    <x:row r="42">
      <x:c r="A42" s="23" t="str">
        <x:v>WA</x:v>
      </x:c>
      <x:c r="B42" s="24" t="n">
        <x:v>645</x:v>
      </x:c>
      <x:c r="C42" s="24" t="n">
        <x:v>0</x:v>
      </x:c>
      <x:c r="D42" s="24" t="n">
        <x:f>B42-C42</x:f>
        <x:v>645</x:v>
      </x:c>
      <x:c r="E42" s="25" t="n">
        <x:f>C42/B42</x:f>
        <x:v>0</x:v>
      </x:c>
      <x:c r="F42" s="23" t="str">
        <x:f>IF(B42&gt;=$B$3,"Yes","No")</x:f>
        <x:v>Yes</x:v>
      </x:c>
    </x:row>
    <x:row r="43">
      <x:c r="A43" s="23" t="str">
        <x:v>OR</x:v>
      </x:c>
      <x:c r="B43" s="24" t="n">
        <x:v>599</x:v>
      </x:c>
      <x:c r="C43" s="24" t="n">
        <x:v>0</x:v>
      </x:c>
      <x:c r="D43" s="24" t="n">
        <x:f>B43-C43</x:f>
        <x:v>599</x:v>
      </x:c>
      <x:c r="E43" s="25" t="n">
        <x:f>C43/B43</x:f>
        <x:v>0</x:v>
      </x:c>
      <x:c r="F43" s="23" t="str">
        <x:f>IF(B43&gt;=$B$3,"Yes","No")</x:f>
        <x:v>Yes</x:v>
      </x:c>
    </x:row>
    <x:row r="44">
      <x:c r="A44" s="23" t="str">
        <x:v>ME</x:v>
      </x:c>
      <x:c r="B44" s="24" t="n">
        <x:v>483</x:v>
      </x:c>
      <x:c r="C44" s="24" t="n">
        <x:v>0</x:v>
      </x:c>
      <x:c r="D44" s="24" t="n">
        <x:f>B44-C44</x:f>
        <x:v>483</x:v>
      </x:c>
      <x:c r="E44" s="25" t="n">
        <x:f>C44/B44</x:f>
        <x:v>0</x:v>
      </x:c>
      <x:c r="F44" s="23" t="str">
        <x:f>IF(B44&gt;=$B$3,"Yes","No")</x:f>
        <x:v>Yes</x:v>
      </x:c>
    </x:row>
    <x:row r="45">
      <x:c r="A45" s="23" t="str">
        <x:v>MA</x:v>
      </x:c>
      <x:c r="B45" s="24" t="n">
        <x:v>441</x:v>
      </x:c>
      <x:c r="C45" s="24" t="n">
        <x:v>0</x:v>
      </x:c>
      <x:c r="D45" s="24" t="n">
        <x:f>B45-C45</x:f>
        <x:v>441</x:v>
      </x:c>
      <x:c r="E45" s="25" t="n">
        <x:f>C45/B45</x:f>
        <x:v>0</x:v>
      </x:c>
      <x:c r="F45" s="23" t="str">
        <x:f>IF(B45&gt;=$B$3,"Yes","No")</x:f>
        <x:v>Yes</x:v>
      </x:c>
    </x:row>
    <x:row r="46">
      <x:c r="A46" s="23" t="str">
        <x:v>SD</x:v>
      </x:c>
      <x:c r="B46" s="24" t="n">
        <x:v>406</x:v>
      </x:c>
      <x:c r="C46" s="24" t="n">
        <x:v>0</x:v>
      </x:c>
      <x:c r="D46" s="24" t="n">
        <x:f>B46-C46</x:f>
        <x:v>406</x:v>
      </x:c>
      <x:c r="E46" s="25" t="n">
        <x:f>C46/B46</x:f>
        <x:v>0</x:v>
      </x:c>
      <x:c r="F46" s="23" t="str">
        <x:f>IF(B46&gt;=$B$3,"Yes","No")</x:f>
        <x:v>Yes</x:v>
      </x:c>
    </x:row>
    <x:row r="47">
      <x:c r="A47" s="23" t="str">
        <x:v>VT</x:v>
      </x:c>
      <x:c r="B47" s="24" t="n">
        <x:v>398</x:v>
      </x:c>
      <x:c r="C47" s="24" t="n">
        <x:v>0</x:v>
      </x:c>
      <x:c r="D47" s="24" t="n">
        <x:f>B47-C47</x:f>
        <x:v>398</x:v>
      </x:c>
      <x:c r="E47" s="25" t="n">
        <x:f>C47/B47</x:f>
        <x:v>0</x:v>
      </x:c>
      <x:c r="F47" s="23" t="str">
        <x:f>IF(B47&gt;=$B$3,"Yes","No")</x:f>
        <x:v>Yes</x:v>
      </x:c>
    </x:row>
    <x:row r="48">
      <x:c r="A48" s="23" t="str">
        <x:v>MT</x:v>
      </x:c>
      <x:c r="B48" s="24" t="n">
        <x:v>364</x:v>
      </x:c>
      <x:c r="C48" s="24" t="n">
        <x:v>0</x:v>
      </x:c>
      <x:c r="D48" s="24" t="n">
        <x:f>B48-C48</x:f>
        <x:v>364</x:v>
      </x:c>
      <x:c r="E48" s="25" t="n">
        <x:f>C48/B48</x:f>
        <x:v>0</x:v>
      </x:c>
      <x:c r="F48" s="23" t="str">
        <x:f>IF(B48&gt;=$B$3,"Yes","No")</x:f>
        <x:v>Yes</x:v>
      </x:c>
    </x:row>
    <x:row r="49">
      <x:c r="A49" s="23" t="str">
        <x:v>AZ</x:v>
      </x:c>
      <x:c r="B49" s="24" t="n">
        <x:v>346</x:v>
      </x:c>
      <x:c r="C49" s="24" t="n">
        <x:v>0</x:v>
      </x:c>
      <x:c r="D49" s="24" t="n">
        <x:f>B49-C49</x:f>
        <x:v>346</x:v>
      </x:c>
      <x:c r="E49" s="25" t="n">
        <x:f>C49/B49</x:f>
        <x:v>0</x:v>
      </x:c>
      <x:c r="F49" s="23" t="str">
        <x:f>IF(B49&gt;=$B$3,"Yes","No")</x:f>
        <x:v>Yes</x:v>
      </x:c>
    </x:row>
    <x:row r="50">
      <x:c r="A50" s="23" t="str">
        <x:v>UT</x:v>
      </x:c>
      <x:c r="B50" s="24" t="n">
        <x:v>341</x:v>
      </x:c>
      <x:c r="C50" s="24" t="n">
        <x:v>0</x:v>
      </x:c>
      <x:c r="D50" s="24" t="n">
        <x:f>B50-C50</x:f>
        <x:v>341</x:v>
      </x:c>
      <x:c r="E50" s="25" t="n">
        <x:f>C50/B50</x:f>
        <x:v>0</x:v>
      </x:c>
      <x:c r="F50" s="23" t="str">
        <x:f>IF(B50&gt;=$B$3,"Yes","No")</x:f>
        <x:v>Yes</x:v>
      </x:c>
    </x:row>
    <x:row r="51">
      <x:c r="A51" s="23" t="str">
        <x:v>CT</x:v>
      </x:c>
      <x:c r="B51" s="24" t="n">
        <x:v>255</x:v>
      </x:c>
      <x:c r="C51" s="24" t="n">
        <x:v>0</x:v>
      </x:c>
      <x:c r="D51" s="24" t="n">
        <x:f>B51-C51</x:f>
        <x:v>255</x:v>
      </x:c>
      <x:c r="E51" s="25" t="n">
        <x:f>C51/B51</x:f>
        <x:v>0</x:v>
      </x:c>
      <x:c r="F51" s="23" t="str">
        <x:f>IF(B51&gt;=$B$3,"Yes","No")</x:f>
        <x:v>Yes</x:v>
      </x:c>
    </x:row>
    <x:row r="52">
      <x:c r="A52" s="23" t="str">
        <x:v>ID</x:v>
      </x:c>
      <x:c r="B52" s="24" t="n">
        <x:v>177</x:v>
      </x:c>
      <x:c r="C52" s="24" t="n">
        <x:v>0</x:v>
      </x:c>
      <x:c r="D52" s="24" t="n">
        <x:f>B52-C52</x:f>
        <x:v>177</x:v>
      </x:c>
      <x:c r="E52" s="25" t="n">
        <x:f>C52/B52</x:f>
        <x:v>0</x:v>
      </x:c>
      <x:c r="F52" s="23" t="str">
        <x:f>IF(B52&gt;=$B$3,"Yes","No")</x:f>
        <x:v>Yes</x:v>
      </x:c>
    </x:row>
    <x:row r="53">
      <x:c r="A53" s="23" t="str">
        <x:v>DC</x:v>
      </x:c>
      <x:c r="B53" s="24" t="n">
        <x:v>110</x:v>
      </x:c>
      <x:c r="C53" s="24" t="n">
        <x:v>0</x:v>
      </x:c>
      <x:c r="D53" s="24" t="n">
        <x:f>B53-C53</x:f>
        <x:v>110</x:v>
      </x:c>
      <x:c r="E53" s="25" t="n">
        <x:f>C53/B53</x:f>
        <x:v>0</x:v>
      </x:c>
      <x:c r="F53" s="23" t="str">
        <x:f>IF(B53&gt;=$B$3,"Yes","No")</x:f>
        <x:v>Yes</x:v>
      </x:c>
    </x:row>
    <x:row r="54">
      <x:c r="A54" s="23" t="str">
        <x:v>HI</x:v>
      </x:c>
      <x:c r="B54" s="24" t="n">
        <x:v>80</x:v>
      </x:c>
      <x:c r="C54" s="24" t="n">
        <x:v>0</x:v>
      </x:c>
      <x:c r="D54" s="24" t="n">
        <x:f>B54-C54</x:f>
        <x:v>80</x:v>
      </x:c>
      <x:c r="E54" s="25" t="n">
        <x:f>C54/B54</x:f>
        <x:v>0</x:v>
      </x:c>
      <x:c r="F54" s="23" t="str">
        <x:f>IF(B54&gt;=$B$3,"Yes","No")</x:f>
        <x:v>No</x:v>
      </x:c>
    </x:row>
    <x:row r="55">
      <x:c r="A55" s="23" t="str">
        <x:v>AK</x:v>
      </x:c>
      <x:c r="B55" s="24" t="n">
        <x:v>61</x:v>
      </x:c>
      <x:c r="C55" s="24" t="n">
        <x:v>0</x:v>
      </x:c>
      <x:c r="D55" s="24" t="n">
        <x:f>B55-C55</x:f>
        <x:v>61</x:v>
      </x:c>
      <x:c r="E55" s="25" t="n">
        <x:f>C55/B55</x:f>
        <x:v>0</x:v>
      </x:c>
      <x:c r="F55" s="23" t="str">
        <x:f>IF(B55&gt;=$B$3,"Yes","No")</x:f>
        <x:v>No</x:v>
      </x:c>
    </x:row>
    <x:row r="56">
      <x:c r="A56" s="23" t="str">
        <x:v>RI</x:v>
      </x:c>
      <x:c r="B56" s="24" t="n">
        <x:v>16</x:v>
      </x:c>
      <x:c r="C56" s="24" t="n">
        <x:v>0</x:v>
      </x:c>
      <x:c r="D56" s="24" t="n">
        <x:f>B56-C56</x:f>
        <x:v>16</x:v>
      </x:c>
      <x:c r="E56" s="25" t="n">
        <x:f>C56/B56</x:f>
        <x:v>0</x:v>
      </x:c>
      <x:c r="F56" s="23" t="str">
        <x:f>IF(B56&gt;=$B$3,"Yes","No")</x:f>
        <x:v>No</x:v>
      </x:c>
    </x:row>
  </x:sheetData>
  <x:mergeCells>
    <x:mergeCell ref="A1:H1"/>
    <x:mergeCell ref="B4:F4"/>
  </x:mergeCells>
  <x:conditionalFormatting sqref="F7:F56">
    <x:cfRule type="containsText" dxfId="2" priority="1" operator="containsText" text="Yes"/>
    <x:cfRule type="containsText" dxfId="3" priority="2" operator="containsText" text="No"/>
  </x:conditionalFormatting>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25" hidden="0" customWidth="1"/>
    <x:col min="3" max="3" width="3" hidden="0" customWidth="1"/>
    <x:col min="4" max="4" width="18" hidden="0" customWidth="1"/>
    <x:col min="5" max="5" width="18" hidden="0" customWidth="1"/>
    <x:col min="6" max="6" width="18" hidden="0" customWidth="1"/>
    <x:col min="7" max="7" width="18" hidden="0" customWidth="1"/>
    <x:col min="8" max="8" width="18" hidden="0" customWidth="1"/>
  </x:cols>
  <x:sheetData>
    <x:row r="1" ht="30" customHeight="1">
      <x:c r="A1" s="3" t="str">
        <x:v>Merchant Median Check</x:v>
      </x:c>
      <x:c r="B1" s="3"/>
      <x:c r="C1" s="3"/>
      <x:c r="D1" s="3"/>
      <x:c r="E1" s="3"/>
      <x:c r="F1" s="3"/>
      <x:c r="G1" s="3"/>
      <x:c r="H1" s="3"/>
    </x:row>
    <x:row r="3">
      <x:c r="A3" s="6" t="str">
        <x:v>This sheet shows why 62 is incorrect for the displayed matrix and why the correct median is 68.</x:v>
      </x:c>
      <x:c r="B3" s="6"/>
      <x:c r="C3" s="6"/>
      <x:c r="D3" s="6"/>
    </x:row>
    <x:row r="5">
      <x:c r="A5" s="28" t="str">
        <x:v>All unique merchants</x:v>
      </x:c>
      <x:c r="B5" s="18" t="n">
        <x:f>COUNTA(A16:A708)</x:f>
        <x:v>693</x:v>
      </x:c>
      <x:c r="D5" s="29" t="str">
        <x:v>Interpretation</x:v>
      </x:c>
      <x:c r="E5" s="29"/>
      <x:c r="F5" s="29"/>
      <x:c r="G5" s="29"/>
      <x:c r="H5" s="29"/>
    </x:row>
    <x:row r="6">
      <x:c r="A6" s="28" t="str">
        <x:v>Median using all merchants</x:v>
      </x:c>
      <x:c r="B6" s="18" t="n">
        <x:f>MEDIAN(B16:B708)</x:f>
        <x:v>62</x:v>
      </x:c>
      <x:c r="D6" s="54" t="str">
        <x:v>The old value 62 is the median of all 693 merchants. The matrix excludes merchants with fewer than 50 transactions and displays only 516 merchants. After that filter, positions 258 and 259 are both 68, so the displayed matrix median must be 68.</x:v>
      </x:c>
      <x:c r="E6" s="54"/>
      <x:c r="F6" s="54"/>
      <x:c r="G6" s="54"/>
      <x:c r="H6" s="54"/>
    </x:row>
    <x:row r="7">
      <x:c r="A7" s="28" t="str">
        <x:v>Matrix minimum transaction volume</x:v>
      </x:c>
      <x:c r="B7" s="18" t="n">
        <x:v>50</x:v>
      </x:c>
      <x:c r="D7" s="54"/>
      <x:c r="E7" s="54"/>
      <x:c r="F7" s="54"/>
      <x:c r="G7" s="54"/>
      <x:c r="H7" s="54"/>
    </x:row>
    <x:row r="8">
      <x:c r="A8" s="28" t="str">
        <x:v>Eligible merchants included in matrix</x:v>
      </x:c>
      <x:c r="B8" s="18" t="n">
        <x:f>COUNTIF(B16:B708,"&gt;="&amp;B7)</x:f>
        <x:v>516</x:v>
      </x:c>
      <x:c r="D8" s="54"/>
      <x:c r="E8" s="54"/>
      <x:c r="F8" s="54"/>
      <x:c r="G8" s="54"/>
      <x:c r="H8" s="54"/>
    </x:row>
    <x:row r="9">
      <x:c r="A9" s="28" t="str">
        <x:v>First middle position (eligible set)</x:v>
      </x:c>
      <x:c r="B9" s="18" t="n">
        <x:f>B8/2</x:f>
        <x:v>258</x:v>
      </x:c>
      <x:c r="D9" s="54"/>
      <x:c r="E9" s="54"/>
      <x:c r="F9" s="54"/>
      <x:c r="G9" s="54"/>
      <x:c r="H9" s="54"/>
    </x:row>
    <x:row r="10">
      <x:c r="A10" s="28" t="str">
        <x:v>Second middle position (eligible set)</x:v>
      </x:c>
      <x:c r="B10" s="18" t="n">
        <x:f>B9+1</x:f>
        <x:v>259</x:v>
      </x:c>
      <x:c r="D10" s="54"/>
      <x:c r="E10" s="54"/>
      <x:c r="F10" s="54"/>
      <x:c r="G10" s="54"/>
      <x:c r="H10" s="54"/>
    </x:row>
    <x:row r="11">
      <x:c r="A11" s="28" t="str">
        <x:v>Volumes at the two middle positions</x:v>
      </x:c>
      <x:c r="B11" t="str">
        <x:f>INDEX('Merchant Matrix'!B12:B527,B9)&amp;" and "&amp;INDEX('Merchant Matrix'!B12:B527,B10)</x:f>
        <x:v>68 and 68</x:v>
      </x:c>
      <x:c r="D11" s="54"/>
      <x:c r="E11" s="54"/>
      <x:c r="F11" s="54"/>
      <x:c r="G11" s="54"/>
      <x:c r="H11" s="54"/>
    </x:row>
    <x:row r="12">
      <x:c r="A12" s="28" t="str">
        <x:v>Correct eligible-merchant median</x:v>
      </x:c>
      <x:c r="B12" s="18" t="n">
        <x:f>AVERAGE(INDEX('Merchant Matrix'!B12:B527,B9),INDEX('Merchant Matrix'!B12:B527,B10))</x:f>
        <x:v>68</x:v>
      </x:c>
      <x:c r="D12" s="54"/>
      <x:c r="E12" s="54"/>
      <x:c r="F12" s="54"/>
      <x:c r="G12" s="54"/>
      <x:c r="H12" s="54"/>
    </x:row>
    <x:row r="15" ht="28" customHeight="1">
      <x:c r="A15" s="15" t="str">
        <x:v>Merchant (all merchants)</x:v>
      </x:c>
      <x:c r="B15" s="17" t="str">
        <x:v>Transaction volume</x:v>
      </x:c>
    </x:row>
    <x:row r="16">
      <x:c r="A16" s="21" t="str">
        <x:v>Goyette-Herzog</x:v>
      </x:c>
      <x:c r="B16" s="22" t="n">
        <x:v>17</x:v>
      </x:c>
    </x:row>
    <x:row r="17">
      <x:c r="A17" s="23" t="str">
        <x:v>Hackett Group</x:v>
      </x:c>
      <x:c r="B17" s="24" t="n">
        <x:v>18</x:v>
      </x:c>
    </x:row>
    <x:row r="18">
      <x:c r="A18" s="23" t="str">
        <x:v>Hahn, Douglas and Schowalter</x:v>
      </x:c>
      <x:c r="B18" s="24" t="n">
        <x:v>18</x:v>
      </x:c>
    </x:row>
    <x:row r="19">
      <x:c r="A19" s="23" t="str">
        <x:v>Hartmann, Rowe and Hermann</x:v>
      </x:c>
      <x:c r="B19" s="24" t="n">
        <x:v>18</x:v>
      </x:c>
    </x:row>
    <x:row r="20">
      <x:c r="A20" s="23" t="str">
        <x:v>Satterfield-Lowe</x:v>
      </x:c>
      <x:c r="B20" s="24" t="n">
        <x:v>18</x:v>
      </x:c>
    </x:row>
    <x:row r="21">
      <x:c r="A21" s="23" t="str">
        <x:v>Champlin, Rolfson and Connelly</x:v>
      </x:c>
      <x:c r="B21" s="24" t="n">
        <x:v>19</x:v>
      </x:c>
    </x:row>
    <x:row r="22">
      <x:c r="A22" s="23" t="str">
        <x:v>Johnston-Casper</x:v>
      </x:c>
      <x:c r="B22" s="24" t="n">
        <x:v>19</x:v>
      </x:c>
    </x:row>
    <x:row r="23">
      <x:c r="A23" s="23" t="str">
        <x:v>Boyer-Haley</x:v>
      </x:c>
      <x:c r="B23" s="24" t="n">
        <x:v>20</x:v>
      </x:c>
    </x:row>
    <x:row r="24">
      <x:c r="A24" s="23" t="str">
        <x:v>Douglas, DuBuque and McKenzie</x:v>
      </x:c>
      <x:c r="B24" s="24" t="n">
        <x:v>20</x:v>
      </x:c>
    </x:row>
    <x:row r="25">
      <x:c r="A25" s="23" t="str">
        <x:v>Shields Inc</x:v>
      </x:c>
      <x:c r="B25" s="24" t="n">
        <x:v>21</x:v>
      </x:c>
    </x:row>
    <x:row r="26">
      <x:c r="A26" s="23" t="str">
        <x:v>Ebert-Daugherty</x:v>
      </x:c>
      <x:c r="B26" s="24" t="n">
        <x:v>23</x:v>
      </x:c>
    </x:row>
    <x:row r="27">
      <x:c r="A27" s="23" t="str">
        <x:v>Fritsch LLC</x:v>
      </x:c>
      <x:c r="B27" s="24" t="n">
        <x:v>23</x:v>
      </x:c>
    </x:row>
    <x:row r="28">
      <x:c r="A28" s="23" t="str">
        <x:v>Harris, Gusikowski and Heaney</x:v>
      </x:c>
      <x:c r="B28" s="24" t="n">
        <x:v>23</x:v>
      </x:c>
    </x:row>
    <x:row r="29">
      <x:c r="A29" s="23" t="str">
        <x:v>Kilback, Nitzsche and Leffler</x:v>
      </x:c>
      <x:c r="B29" s="24" t="n">
        <x:v>23</x:v>
      </x:c>
    </x:row>
    <x:row r="30">
      <x:c r="A30" s="23" t="str">
        <x:v>Little-Gleichner</x:v>
      </x:c>
      <x:c r="B30" s="24" t="n">
        <x:v>23</x:v>
      </x:c>
    </x:row>
    <x:row r="31">
      <x:c r="A31" s="23" t="str">
        <x:v>Medhurst, Labadie and Gottlieb</x:v>
      </x:c>
      <x:c r="B31" s="24" t="n">
        <x:v>23</x:v>
      </x:c>
    </x:row>
    <x:row r="32">
      <x:c r="A32" s="23" t="str">
        <x:v>Ankunding-Carroll</x:v>
      </x:c>
      <x:c r="B32" s="24" t="n">
        <x:v>24</x:v>
      </x:c>
    </x:row>
    <x:row r="33">
      <x:c r="A33" s="23" t="str">
        <x:v>Bednar Inc</x:v>
      </x:c>
      <x:c r="B33" s="24" t="n">
        <x:v>24</x:v>
      </x:c>
    </x:row>
    <x:row r="34">
      <x:c r="A34" s="23" t="str">
        <x:v>Dicki Ltd</x:v>
      </x:c>
      <x:c r="B34" s="24" t="n">
        <x:v>24</x:v>
      </x:c>
    </x:row>
    <x:row r="35">
      <x:c r="A35" s="23" t="str">
        <x:v>Kessler Group</x:v>
      </x:c>
      <x:c r="B35" s="24" t="n">
        <x:v>24</x:v>
      </x:c>
    </x:row>
    <x:row r="36">
      <x:c r="A36" s="23" t="str">
        <x:v>Kutch-Hegmann</x:v>
      </x:c>
      <x:c r="B36" s="24" t="n">
        <x:v>24</x:v>
      </x:c>
    </x:row>
    <x:row r="37">
      <x:c r="A37" s="23" t="str">
        <x:v>Lynch-Mohr</x:v>
      </x:c>
      <x:c r="B37" s="24" t="n">
        <x:v>24</x:v>
      </x:c>
    </x:row>
    <x:row r="38">
      <x:c r="A38" s="23" t="str">
        <x:v>Veum-Koelpin</x:v>
      </x:c>
      <x:c r="B38" s="24" t="n">
        <x:v>24</x:v>
      </x:c>
    </x:row>
    <x:row r="39">
      <x:c r="A39" s="23" t="str">
        <x:v>Cassin-Harvey</x:v>
      </x:c>
      <x:c r="B39" s="24" t="n">
        <x:v>25</x:v>
      </x:c>
    </x:row>
    <x:row r="40">
      <x:c r="A40" s="23" t="str">
        <x:v>Hagenes, Hermann and Stroman</x:v>
      </x:c>
      <x:c r="B40" s="24" t="n">
        <x:v>25</x:v>
      </x:c>
    </x:row>
    <x:row r="41">
      <x:c r="A41" s="23" t="str">
        <x:v>Kessler Inc</x:v>
      </x:c>
      <x:c r="B41" s="24" t="n">
        <x:v>25</x:v>
      </x:c>
    </x:row>
    <x:row r="42">
      <x:c r="A42" s="23" t="str">
        <x:v>Ritchie, Oberbrunner and Cremin</x:v>
      </x:c>
      <x:c r="B42" s="24" t="n">
        <x:v>25</x:v>
      </x:c>
    </x:row>
    <x:row r="43">
      <x:c r="A43" s="23" t="str">
        <x:v>Wiegand-Lowe</x:v>
      </x:c>
      <x:c r="B43" s="24" t="n">
        <x:v>25</x:v>
      </x:c>
    </x:row>
    <x:row r="44">
      <x:c r="A44" s="23" t="str">
        <x:v>Cummings Group</x:v>
      </x:c>
      <x:c r="B44" s="24" t="n">
        <x:v>26</x:v>
      </x:c>
    </x:row>
    <x:row r="45">
      <x:c r="A45" s="23" t="str">
        <x:v>Paucek-Wiza</x:v>
      </x:c>
      <x:c r="B45" s="24" t="n">
        <x:v>26</x:v>
      </x:c>
    </x:row>
    <x:row r="46">
      <x:c r="A46" s="23" t="str">
        <x:v>Reichert-Weissnat</x:v>
      </x:c>
      <x:c r="B46" s="24" t="n">
        <x:v>26</x:v>
      </x:c>
    </x:row>
    <x:row r="47">
      <x:c r="A47" s="23" t="str">
        <x:v>Schroeder, Wolff and Hermiston</x:v>
      </x:c>
      <x:c r="B47" s="24" t="n">
        <x:v>26</x:v>
      </x:c>
    </x:row>
    <x:row r="48">
      <x:c r="A48" s="23" t="str">
        <x:v>Smitham-Schiller</x:v>
      </x:c>
      <x:c r="B48" s="24" t="n">
        <x:v>26</x:v>
      </x:c>
    </x:row>
    <x:row r="49">
      <x:c r="A49" s="23" t="str">
        <x:v>Towne, Walker and Borer</x:v>
      </x:c>
      <x:c r="B49" s="24" t="n">
        <x:v>26</x:v>
      </x:c>
    </x:row>
    <x:row r="50">
      <x:c r="A50" s="23" t="str">
        <x:v>Tromp Group</x:v>
      </x:c>
      <x:c r="B50" s="24" t="n">
        <x:v>26</x:v>
      </x:c>
    </x:row>
    <x:row r="51">
      <x:c r="A51" s="23" t="str">
        <x:v>Turner LLC</x:v>
      </x:c>
      <x:c r="B51" s="24" t="n">
        <x:v>26</x:v>
      </x:c>
    </x:row>
    <x:row r="52">
      <x:c r="A52" s="23" t="str">
        <x:v>Hintz-Bruen</x:v>
      </x:c>
      <x:c r="B52" s="24" t="n">
        <x:v>27</x:v>
      </x:c>
    </x:row>
    <x:row r="53">
      <x:c r="A53" s="23" t="str">
        <x:v>Kovacek Ltd</x:v>
      </x:c>
      <x:c r="B53" s="24" t="n">
        <x:v>27</x:v>
      </x:c>
    </x:row>
    <x:row r="54">
      <x:c r="A54" s="23" t="str">
        <x:v>Rempel PLC</x:v>
      </x:c>
      <x:c r="B54" s="24" t="n">
        <x:v>27</x:v>
      </x:c>
    </x:row>
    <x:row r="55">
      <x:c r="A55" s="23" t="str">
        <x:v>Rutherford, Homenick and Bergstrom</x:v>
      </x:c>
      <x:c r="B55" s="24" t="n">
        <x:v>27</x:v>
      </x:c>
    </x:row>
    <x:row r="56">
      <x:c r="A56" s="23" t="str">
        <x:v>Tillman LLC</x:v>
      </x:c>
      <x:c r="B56" s="24" t="n">
        <x:v>27</x:v>
      </x:c>
    </x:row>
    <x:row r="57">
      <x:c r="A57" s="23" t="str">
        <x:v>Trantow PLC</x:v>
      </x:c>
      <x:c r="B57" s="24" t="n">
        <x:v>27</x:v>
      </x:c>
    </x:row>
    <x:row r="58">
      <x:c r="A58" s="23" t="str">
        <x:v>Eichmann, Hayes and Treutel</x:v>
      </x:c>
      <x:c r="B58" s="24" t="n">
        <x:v>28</x:v>
      </x:c>
    </x:row>
    <x:row r="59">
      <x:c r="A59" s="23" t="str">
        <x:v>Kris-Kertzmann</x:v>
      </x:c>
      <x:c r="B59" s="24" t="n">
        <x:v>28</x:v>
      </x:c>
    </x:row>
    <x:row r="60">
      <x:c r="A60" s="23" t="str">
        <x:v>Monahan, Hermann and Johns</x:v>
      </x:c>
      <x:c r="B60" s="24" t="n">
        <x:v>28</x:v>
      </x:c>
    </x:row>
    <x:row r="61">
      <x:c r="A61" s="23" t="str">
        <x:v>Mosciski Group</x:v>
      </x:c>
      <x:c r="B61" s="24" t="n">
        <x:v>28</x:v>
      </x:c>
    </x:row>
    <x:row r="62">
      <x:c r="A62" s="23" t="str">
        <x:v>Roob LLC</x:v>
      </x:c>
      <x:c r="B62" s="24" t="n">
        <x:v>28</x:v>
      </x:c>
    </x:row>
    <x:row r="63">
      <x:c r="A63" s="23" t="str">
        <x:v>Thiel Ltd</x:v>
      </x:c>
      <x:c r="B63" s="24" t="n">
        <x:v>28</x:v>
      </x:c>
    </x:row>
    <x:row r="64">
      <x:c r="A64" s="23" t="str">
        <x:v>Adams, Kovacek and Kuhlman</x:v>
      </x:c>
      <x:c r="B64" s="24" t="n">
        <x:v>29</x:v>
      </x:c>
    </x:row>
    <x:row r="65">
      <x:c r="A65" s="23" t="str">
        <x:v>Corwin-Romaguera</x:v>
      </x:c>
      <x:c r="B65" s="24" t="n">
        <x:v>29</x:v>
      </x:c>
    </x:row>
    <x:row r="66">
      <x:c r="A66" s="23" t="str">
        <x:v>Kutch Group</x:v>
      </x:c>
      <x:c r="B66" s="24" t="n">
        <x:v>29</x:v>
      </x:c>
    </x:row>
    <x:row r="67">
      <x:c r="A67" s="23" t="str">
        <x:v>McLaughlin, Armstrong and Koepp</x:v>
      </x:c>
      <x:c r="B67" s="24" t="n">
        <x:v>29</x:v>
      </x:c>
    </x:row>
    <x:row r="68">
      <x:c r="A68" s="23" t="str">
        <x:v>Pfeffer LLC</x:v>
      </x:c>
      <x:c r="B68" s="24" t="n">
        <x:v>29</x:v>
      </x:c>
    </x:row>
    <x:row r="69">
      <x:c r="A69" s="23" t="str">
        <x:v>Bernier, Streich and Jewess</x:v>
      </x:c>
      <x:c r="B69" s="24" t="n">
        <x:v>30</x:v>
      </x:c>
    </x:row>
    <x:row r="70">
      <x:c r="A70" s="23" t="str">
        <x:v>Collier Inc</x:v>
      </x:c>
      <x:c r="B70" s="24" t="n">
        <x:v>30</x:v>
      </x:c>
    </x:row>
    <x:row r="71">
      <x:c r="A71" s="23" t="str">
        <x:v>Funk Group</x:v>
      </x:c>
      <x:c r="B71" s="24" t="n">
        <x:v>30</x:v>
      </x:c>
    </x:row>
    <x:row r="72">
      <x:c r="A72" s="23" t="str">
        <x:v>Hills-Olson</x:v>
      </x:c>
      <x:c r="B72" s="24" t="n">
        <x:v>30</x:v>
      </x:c>
    </x:row>
    <x:row r="73">
      <x:c r="A73" s="23" t="str">
        <x:v>Murray Ltd</x:v>
      </x:c>
      <x:c r="B73" s="24" t="n">
        <x:v>30</x:v>
      </x:c>
    </x:row>
    <x:row r="74">
      <x:c r="A74" s="23" t="str">
        <x:v>Tromp, Kerluke and Glover</x:v>
      </x:c>
      <x:c r="B74" s="24" t="n">
        <x:v>30</x:v>
      </x:c>
    </x:row>
    <x:row r="75">
      <x:c r="A75" s="23" t="str">
        <x:v>Block-Hauck</x:v>
      </x:c>
      <x:c r="B75" s="24" t="n">
        <x:v>31</x:v>
      </x:c>
    </x:row>
    <x:row r="76">
      <x:c r="A76" s="23" t="str">
        <x:v>Breitenberg LLC</x:v>
      </x:c>
      <x:c r="B76" s="24" t="n">
        <x:v>31</x:v>
      </x:c>
    </x:row>
    <x:row r="77">
      <x:c r="A77" s="23" t="str">
        <x:v>Ferry, Lynch and Kautzer</x:v>
      </x:c>
      <x:c r="B77" s="24" t="n">
        <x:v>31</x:v>
      </x:c>
    </x:row>
    <x:row r="78">
      <x:c r="A78" s="23" t="str">
        <x:v>Kemmer-Reinger</x:v>
      </x:c>
      <x:c r="B78" s="24" t="n">
        <x:v>31</x:v>
      </x:c>
    </x:row>
    <x:row r="79">
      <x:c r="A79" s="23" t="str">
        <x:v>Leannon-Nikolaus</x:v>
      </x:c>
      <x:c r="B79" s="24" t="n">
        <x:v>31</x:v>
      </x:c>
    </x:row>
    <x:row r="80">
      <x:c r="A80" s="23" t="str">
        <x:v>Lemke and Sons</x:v>
      </x:c>
      <x:c r="B80" s="24" t="n">
        <x:v>31</x:v>
      </x:c>
    </x:row>
    <x:row r="81">
      <x:c r="A81" s="23" t="str">
        <x:v>Morar Inc</x:v>
      </x:c>
      <x:c r="B81" s="24" t="n">
        <x:v>31</x:v>
      </x:c>
    </x:row>
    <x:row r="82">
      <x:c r="A82" s="23" t="str">
        <x:v>Treutel-King</x:v>
      </x:c>
      <x:c r="B82" s="24" t="n">
        <x:v>31</x:v>
      </x:c>
    </x:row>
    <x:row r="83">
      <x:c r="A83" s="23" t="str">
        <x:v>Wuckert-Walter</x:v>
      </x:c>
      <x:c r="B83" s="24" t="n">
        <x:v>31</x:v>
      </x:c>
    </x:row>
    <x:row r="84">
      <x:c r="A84" s="23" t="str">
        <x:v>Durgan-Auer</x:v>
      </x:c>
      <x:c r="B84" s="24" t="n">
        <x:v>32</x:v>
      </x:c>
    </x:row>
    <x:row r="85">
      <x:c r="A85" s="23" t="str">
        <x:v>Heller-Abshire</x:v>
      </x:c>
      <x:c r="B85" s="24" t="n">
        <x:v>32</x:v>
      </x:c>
    </x:row>
    <x:row r="86">
      <x:c r="A86" s="23" t="str">
        <x:v>Huel-Langworth</x:v>
      </x:c>
      <x:c r="B86" s="24" t="n">
        <x:v>32</x:v>
      </x:c>
    </x:row>
    <x:row r="87">
      <x:c r="A87" s="23" t="str">
        <x:v>Kunze, Larkin and Mayert</x:v>
      </x:c>
      <x:c r="B87" s="24" t="n">
        <x:v>32</x:v>
      </x:c>
    </x:row>
    <x:row r="88">
      <x:c r="A88" s="23" t="str">
        <x:v>McCullough Group</x:v>
      </x:c>
      <x:c r="B88" s="24" t="n">
        <x:v>32</x:v>
      </x:c>
    </x:row>
    <x:row r="89">
      <x:c r="A89" s="23" t="str">
        <x:v>McGlynn-Heathcote</x:v>
      </x:c>
      <x:c r="B89" s="24" t="n">
        <x:v>32</x:v>
      </x:c>
    </x:row>
    <x:row r="90">
      <x:c r="A90" s="23" t="str">
        <x:v>Morissette, Weber and Wiegand</x:v>
      </x:c>
      <x:c r="B90" s="24" t="n">
        <x:v>32</x:v>
      </x:c>
    </x:row>
    <x:row r="91">
      <x:c r="A91" s="23" t="str">
        <x:v>Reichel, Bradtke and Blanda</x:v>
      </x:c>
      <x:c r="B91" s="24" t="n">
        <x:v>32</x:v>
      </x:c>
    </x:row>
    <x:row r="92">
      <x:c r="A92" s="23" t="str">
        <x:v>Spinka Inc</x:v>
      </x:c>
      <x:c r="B92" s="24" t="n">
        <x:v>32</x:v>
      </x:c>
    </x:row>
    <x:row r="93">
      <x:c r="A93" s="23" t="str">
        <x:v>Spinka-Welch</x:v>
      </x:c>
      <x:c r="B93" s="24" t="n">
        <x:v>32</x:v>
      </x:c>
    </x:row>
    <x:row r="94">
      <x:c r="A94" s="23" t="str">
        <x:v>Swift, Bradtke and Marquardt</x:v>
      </x:c>
      <x:c r="B94" s="24" t="n">
        <x:v>32</x:v>
      </x:c>
    </x:row>
    <x:row r="95">
      <x:c r="A95" s="23" t="str">
        <x:v>Dare-Gibson</x:v>
      </x:c>
      <x:c r="B95" s="24" t="n">
        <x:v>33</x:v>
      </x:c>
    </x:row>
    <x:row r="96">
      <x:c r="A96" s="23" t="str">
        <x:v>Hodkiewicz, Prohaska and Paucek</x:v>
      </x:c>
      <x:c r="B96" s="24" t="n">
        <x:v>33</x:v>
      </x:c>
    </x:row>
    <x:row r="97">
      <x:c r="A97" s="23" t="str">
        <x:v>Jaskolski-Dibbert</x:v>
      </x:c>
      <x:c r="B97" s="24" t="n">
        <x:v>33</x:v>
      </x:c>
    </x:row>
    <x:row r="98">
      <x:c r="A98" s="23" t="str">
        <x:v>Kohler, Lindgren and Koelpin</x:v>
      </x:c>
      <x:c r="B98" s="24" t="n">
        <x:v>33</x:v>
      </x:c>
    </x:row>
    <x:row r="99">
      <x:c r="A99" s="23" t="str">
        <x:v>Kozey-McDermott</x:v>
      </x:c>
      <x:c r="B99" s="24" t="n">
        <x:v>33</x:v>
      </x:c>
    </x:row>
    <x:row r="100">
      <x:c r="A100" s="23" t="str">
        <x:v>Ortiz Group</x:v>
      </x:c>
      <x:c r="B100" s="24" t="n">
        <x:v>33</x:v>
      </x:c>
    </x:row>
    <x:row r="101">
      <x:c r="A101" s="23" t="str">
        <x:v>Romaguera and Sons</x:v>
      </x:c>
      <x:c r="B101" s="24" t="n">
        <x:v>33</x:v>
      </x:c>
    </x:row>
    <x:row r="102">
      <x:c r="A102" s="23" t="str">
        <x:v>Smitham-Boehm</x:v>
      </x:c>
      <x:c r="B102" s="24" t="n">
        <x:v>33</x:v>
      </x:c>
    </x:row>
    <x:row r="103">
      <x:c r="A103" s="23" t="str">
        <x:v>Bogisich-Homenick</x:v>
      </x:c>
      <x:c r="B103" s="24" t="n">
        <x:v>34</x:v>
      </x:c>
    </x:row>
    <x:row r="104">
      <x:c r="A104" s="23" t="str">
        <x:v>Ferry, Reichel and DuBuque</x:v>
      </x:c>
      <x:c r="B104" s="24" t="n">
        <x:v>34</x:v>
      </x:c>
    </x:row>
    <x:row r="105">
      <x:c r="A105" s="23" t="str">
        <x:v>Johnston, Nikolaus and Maggio</x:v>
      </x:c>
      <x:c r="B105" s="24" t="n">
        <x:v>34</x:v>
      </x:c>
    </x:row>
    <x:row r="106">
      <x:c r="A106" s="23" t="str">
        <x:v>Kerluke, Considine and Macejkovic</x:v>
      </x:c>
      <x:c r="B106" s="24" t="n">
        <x:v>34</x:v>
      </x:c>
    </x:row>
    <x:row r="107">
      <x:c r="A107" s="23" t="str">
        <x:v>Larson, Quitzon and Spencer</x:v>
      </x:c>
      <x:c r="B107" s="24" t="n">
        <x:v>34</x:v>
      </x:c>
    </x:row>
    <x:row r="108">
      <x:c r="A108" s="23" t="str">
        <x:v>Ritchie, Bradtke and Stiedemann</x:v>
      </x:c>
      <x:c r="B108" s="24" t="n">
        <x:v>34</x:v>
      </x:c>
    </x:row>
    <x:row r="109">
      <x:c r="A109" s="23" t="str">
        <x:v>Runolfsson and Sons</x:v>
      </x:c>
      <x:c r="B109" s="24" t="n">
        <x:v>34</x:v>
      </x:c>
    </x:row>
    <x:row r="110">
      <x:c r="A110" s="23" t="str">
        <x:v>Stokes, Christiansen and Sipes</x:v>
      </x:c>
      <x:c r="B110" s="24" t="n">
        <x:v>34</x:v>
      </x:c>
    </x:row>
    <x:row r="111">
      <x:c r="A111" s="23" t="str">
        <x:v>VonRueden Group</x:v>
      </x:c>
      <x:c r="B111" s="24" t="n">
        <x:v>34</x:v>
      </x:c>
    </x:row>
    <x:row r="112">
      <x:c r="A112" s="23" t="str">
        <x:v>Kling-Grant</x:v>
      </x:c>
      <x:c r="B112" s="24" t="n">
        <x:v>35</x:v>
      </x:c>
    </x:row>
    <x:row r="113">
      <x:c r="A113" s="23" t="str">
        <x:v>Hyatt-Blick</x:v>
      </x:c>
      <x:c r="B113" s="24" t="n">
        <x:v>36</x:v>
      </x:c>
    </x:row>
    <x:row r="114">
      <x:c r="A114" s="23" t="str">
        <x:v>Johnson, Runolfsdottir and Mayer</x:v>
      </x:c>
      <x:c r="B114" s="24" t="n">
        <x:v>36</x:v>
      </x:c>
    </x:row>
    <x:row r="115">
      <x:c r="A115" s="23" t="str">
        <x:v>Rodriguez, Yost and Jenkins</x:v>
      </x:c>
      <x:c r="B115" s="24" t="n">
        <x:v>36</x:v>
      </x:c>
    </x:row>
    <x:row r="116">
      <x:c r="A116" s="23" t="str">
        <x:v>Tillman, Fritsch and Schmitt</x:v>
      </x:c>
      <x:c r="B116" s="24" t="n">
        <x:v>36</x:v>
      </x:c>
    </x:row>
    <x:row r="117">
      <x:c r="A117" s="23" t="str">
        <x:v>Bahringer-Larson</x:v>
      </x:c>
      <x:c r="B117" s="24" t="n">
        <x:v>37</x:v>
      </x:c>
    </x:row>
    <x:row r="118">
      <x:c r="A118" s="23" t="str">
        <x:v>Buckridge PLC</x:v>
      </x:c>
      <x:c r="B118" s="24" t="n">
        <x:v>37</x:v>
      </x:c>
    </x:row>
    <x:row r="119">
      <x:c r="A119" s="23" t="str">
        <x:v>Emmerich-Luettgen</x:v>
      </x:c>
      <x:c r="B119" s="24" t="n">
        <x:v>37</x:v>
      </x:c>
    </x:row>
    <x:row r="120">
      <x:c r="A120" s="23" t="str">
        <x:v>Kerluke PLC</x:v>
      </x:c>
      <x:c r="B120" s="24" t="n">
        <x:v>37</x:v>
      </x:c>
    </x:row>
    <x:row r="121">
      <x:c r="A121" s="23" t="str">
        <x:v>Kerluke, Kertzmann and Wiza</x:v>
      </x:c>
      <x:c r="B121" s="24" t="n">
        <x:v>37</x:v>
      </x:c>
    </x:row>
    <x:row r="122">
      <x:c r="A122" s="23" t="str">
        <x:v>Koelpin and Sons</x:v>
      </x:c>
      <x:c r="B122" s="24" t="n">
        <x:v>37</x:v>
      </x:c>
    </x:row>
    <x:row r="123">
      <x:c r="A123" s="23" t="str">
        <x:v>Rippin, Kub and Mann</x:v>
      </x:c>
      <x:c r="B123" s="24" t="n">
        <x:v>37</x:v>
      </x:c>
    </x:row>
    <x:row r="124">
      <x:c r="A124" s="23" t="str">
        <x:v>Rohan, White and Aufderhar</x:v>
      </x:c>
      <x:c r="B124" s="24" t="n">
        <x:v>37</x:v>
      </x:c>
    </x:row>
    <x:row r="125">
      <x:c r="A125" s="23" t="str">
        <x:v>Dach-Borer</x:v>
      </x:c>
      <x:c r="B125" s="24" t="n">
        <x:v>38</x:v>
      </x:c>
    </x:row>
    <x:row r="126">
      <x:c r="A126" s="23" t="str">
        <x:v>Flatley-Durgan</x:v>
      </x:c>
      <x:c r="B126" s="24" t="n">
        <x:v>38</x:v>
      </x:c>
    </x:row>
    <x:row r="127">
      <x:c r="A127" s="23" t="str">
        <x:v>Jerde-Hermann</x:v>
      </x:c>
      <x:c r="B127" s="24" t="n">
        <x:v>38</x:v>
      </x:c>
    </x:row>
    <x:row r="128">
      <x:c r="A128" s="23" t="str">
        <x:v>Kuphal-Predovic</x:v>
      </x:c>
      <x:c r="B128" s="24" t="n">
        <x:v>38</x:v>
      </x:c>
    </x:row>
    <x:row r="129">
      <x:c r="A129" s="23" t="str">
        <x:v>Volkman Ltd</x:v>
      </x:c>
      <x:c r="B129" s="24" t="n">
        <x:v>38</x:v>
      </x:c>
    </x:row>
    <x:row r="130">
      <x:c r="A130" s="23" t="str">
        <x:v>Block Group</x:v>
      </x:c>
      <x:c r="B130" s="24" t="n">
        <x:v>39</x:v>
      </x:c>
    </x:row>
    <x:row r="131">
      <x:c r="A131" s="23" t="str">
        <x:v>Rowe-Vandervort</x:v>
      </x:c>
      <x:c r="B131" s="24" t="n">
        <x:v>39</x:v>
      </x:c>
    </x:row>
    <x:row r="132">
      <x:c r="A132" s="23" t="str">
        <x:v>Skiles-Ankunding</x:v>
      </x:c>
      <x:c r="B132" s="24" t="n">
        <x:v>39</x:v>
      </x:c>
    </x:row>
    <x:row r="133">
      <x:c r="A133" s="23" t="str">
        <x:v>Brown PLC</x:v>
      </x:c>
      <x:c r="B133" s="24" t="n">
        <x:v>40</x:v>
      </x:c>
    </x:row>
    <x:row r="134">
      <x:c r="A134" s="23" t="str">
        <x:v>Eichmann-Russel</x:v>
      </x:c>
      <x:c r="B134" s="24" t="n">
        <x:v>40</x:v>
      </x:c>
    </x:row>
    <x:row r="135">
      <x:c r="A135" s="23" t="str">
        <x:v>Greenfelder, Bartoletti and Davis</x:v>
      </x:c>
      <x:c r="B135" s="24" t="n">
        <x:v>40</x:v>
      </x:c>
    </x:row>
    <x:row r="136">
      <x:c r="A136" s="23" t="str">
        <x:v>Kerluke Inc</x:v>
      </x:c>
      <x:c r="B136" s="24" t="n">
        <x:v>40</x:v>
      </x:c>
    </x:row>
    <x:row r="137">
      <x:c r="A137" s="23" t="str">
        <x:v>Kertzmann LLC</x:v>
      </x:c>
      <x:c r="B137" s="24" t="n">
        <x:v>40</x:v>
      </x:c>
    </x:row>
    <x:row r="138">
      <x:c r="A138" s="23" t="str">
        <x:v>Swaniawski, Bahringer and Ledner</x:v>
      </x:c>
      <x:c r="B138" s="24" t="n">
        <x:v>40</x:v>
      </x:c>
    </x:row>
    <x:row r="139">
      <x:c r="A139" s="23" t="str">
        <x:v>Moore, Dibbert and Koepp</x:v>
      </x:c>
      <x:c r="B139" s="24" t="n">
        <x:v>41</x:v>
      </x:c>
    </x:row>
    <x:row r="140">
      <x:c r="A140" s="23" t="str">
        <x:v>Parisian, Schiller and Altenwerth</x:v>
      </x:c>
      <x:c r="B140" s="24" t="n">
        <x:v>41</x:v>
      </x:c>
    </x:row>
    <x:row r="141">
      <x:c r="A141" s="23" t="str">
        <x:v>Stehr, Jewess and Schimmel</x:v>
      </x:c>
      <x:c r="B141" s="24" t="n">
        <x:v>41</x:v>
      </x:c>
    </x:row>
    <x:row r="142">
      <x:c r="A142" s="23" t="str">
        <x:v>Hamill-Daugherty</x:v>
      </x:c>
      <x:c r="B142" s="24" t="n">
        <x:v>42</x:v>
      </x:c>
    </x:row>
    <x:row r="143">
      <x:c r="A143" s="23" t="str">
        <x:v>Klocko LLC</x:v>
      </x:c>
      <x:c r="B143" s="24" t="n">
        <x:v>42</x:v>
      </x:c>
    </x:row>
    <x:row r="144">
      <x:c r="A144" s="23" t="str">
        <x:v>Kunde-Sanford</x:v>
      </x:c>
      <x:c r="B144" s="24" t="n">
        <x:v>42</x:v>
      </x:c>
    </x:row>
    <x:row r="145">
      <x:c r="A145" s="23" t="str">
        <x:v>Miller-Harris</x:v>
      </x:c>
      <x:c r="B145" s="24" t="n">
        <x:v>42</x:v>
      </x:c>
    </x:row>
    <x:row r="146">
      <x:c r="A146" s="23" t="str">
        <x:v>Bednar Group</x:v>
      </x:c>
      <x:c r="B146" s="24" t="n">
        <x:v>43</x:v>
      </x:c>
    </x:row>
    <x:row r="147">
      <x:c r="A147" s="23" t="str">
        <x:v>Dach-Nader</x:v>
      </x:c>
      <x:c r="B147" s="24" t="n">
        <x:v>43</x:v>
      </x:c>
    </x:row>
    <x:row r="148">
      <x:c r="A148" s="23" t="str">
        <x:v>Dare, Fritsch and Zboncak</x:v>
      </x:c>
      <x:c r="B148" s="24" t="n">
        <x:v>43</x:v>
      </x:c>
    </x:row>
    <x:row r="149">
      <x:c r="A149" s="23" t="str">
        <x:v>Gutmann Ltd</x:v>
      </x:c>
      <x:c r="B149" s="24" t="n">
        <x:v>43</x:v>
      </x:c>
    </x:row>
    <x:row r="150">
      <x:c r="A150" s="23" t="str">
        <x:v>Hahn, Bahringer and McLaughlin</x:v>
      </x:c>
      <x:c r="B150" s="24" t="n">
        <x:v>43</x:v>
      </x:c>
    </x:row>
    <x:row r="151">
      <x:c r="A151" s="23" t="str">
        <x:v>Hayes, Marquardt and Dibbert</x:v>
      </x:c>
      <x:c r="B151" s="24" t="n">
        <x:v>43</x:v>
      </x:c>
    </x:row>
    <x:row r="152">
      <x:c r="A152" s="23" t="str">
        <x:v>Monahan, Bogisich and Ledner</x:v>
      </x:c>
      <x:c r="B152" s="24" t="n">
        <x:v>43</x:v>
      </x:c>
    </x:row>
    <x:row r="153">
      <x:c r="A153" s="23" t="str">
        <x:v>Nader-Heller</x:v>
      </x:c>
      <x:c r="B153" s="24" t="n">
        <x:v>43</x:v>
      </x:c>
    </x:row>
    <x:row r="154">
      <x:c r="A154" s="23" t="str">
        <x:v>Runte-Mohr</x:v>
      </x:c>
      <x:c r="B154" s="24" t="n">
        <x:v>43</x:v>
      </x:c>
    </x:row>
    <x:row r="155">
      <x:c r="A155" s="23" t="str">
        <x:v>Halvorson Group</x:v>
      </x:c>
      <x:c r="B155" s="24" t="n">
        <x:v>44</x:v>
      </x:c>
    </x:row>
    <x:row r="156">
      <x:c r="A156" s="23" t="str">
        <x:v>Hintz, Bauch and Smith</x:v>
      </x:c>
      <x:c r="B156" s="24" t="n">
        <x:v>44</x:v>
      </x:c>
    </x:row>
    <x:row r="157">
      <x:c r="A157" s="23" t="str">
        <x:v>Mante Group</x:v>
      </x:c>
      <x:c r="B157" s="24" t="n">
        <x:v>44</x:v>
      </x:c>
    </x:row>
    <x:row r="158">
      <x:c r="A158" s="23" t="str">
        <x:v>Balistreri-Nader</x:v>
      </x:c>
      <x:c r="B158" s="24" t="n">
        <x:v>45</x:v>
      </x:c>
    </x:row>
    <x:row r="159">
      <x:c r="A159" s="23" t="str">
        <x:v>Dooley-Thompson</x:v>
      </x:c>
      <x:c r="B159" s="24" t="n">
        <x:v>45</x:v>
      </x:c>
    </x:row>
    <x:row r="160">
      <x:c r="A160" s="23" t="str">
        <x:v>Kuphal-Bartoletti</x:v>
      </x:c>
      <x:c r="B160" s="24" t="n">
        <x:v>45</x:v>
      </x:c>
    </x:row>
    <x:row r="161">
      <x:c r="A161" s="23" t="str">
        <x:v>Reynolds-Schinner</x:v>
      </x:c>
      <x:c r="B161" s="24" t="n">
        <x:v>45</x:v>
      </x:c>
    </x:row>
    <x:row r="162">
      <x:c r="A162" s="23" t="str">
        <x:v>Thiel PLC</x:v>
      </x:c>
      <x:c r="B162" s="24" t="n">
        <x:v>45</x:v>
      </x:c>
    </x:row>
    <x:row r="163">
      <x:c r="A163" s="23" t="str">
        <x:v>Abshire PLC</x:v>
      </x:c>
      <x:c r="B163" s="24" t="n">
        <x:v>46</x:v>
      </x:c>
    </x:row>
    <x:row r="164">
      <x:c r="A164" s="23" t="str">
        <x:v>Bernier, Volkman and Hoeger</x:v>
      </x:c>
      <x:c r="B164" s="24" t="n">
        <x:v>46</x:v>
      </x:c>
    </x:row>
    <x:row r="165">
      <x:c r="A165" s="23" t="str">
        <x:v>Daugherty-Thompson</x:v>
      </x:c>
      <x:c r="B165" s="24" t="n">
        <x:v>46</x:v>
      </x:c>
    </x:row>
    <x:row r="166">
      <x:c r="A166" s="23" t="str">
        <x:v>Donnelly PLC</x:v>
      </x:c>
      <x:c r="B166" s="24" t="n">
        <x:v>46</x:v>
      </x:c>
    </x:row>
    <x:row r="167">
      <x:c r="A167" s="23" t="str">
        <x:v>Ruecker Group</x:v>
      </x:c>
      <x:c r="B167" s="24" t="n">
        <x:v>46</x:v>
      </x:c>
    </x:row>
    <x:row r="168">
      <x:c r="A168" s="23" t="str">
        <x:v>Swaniawski, Nitzsche and Welch</x:v>
      </x:c>
      <x:c r="B168" s="24" t="n">
        <x:v>46</x:v>
      </x:c>
    </x:row>
    <x:row r="169">
      <x:c r="A169" s="23" t="str">
        <x:v>Ernser-Lynch</x:v>
      </x:c>
      <x:c r="B169" s="24" t="n">
        <x:v>47</x:v>
      </x:c>
    </x:row>
    <x:row r="170">
      <x:c r="A170" s="23" t="str">
        <x:v>Howe Ltd</x:v>
      </x:c>
      <x:c r="B170" s="24" t="n">
        <x:v>47</x:v>
      </x:c>
    </x:row>
    <x:row r="171">
      <x:c r="A171" s="23" t="str">
        <x:v>Schmitt Ltd</x:v>
      </x:c>
      <x:c r="B171" s="24" t="n">
        <x:v>47</x:v>
      </x:c>
    </x:row>
    <x:row r="172">
      <x:c r="A172" s="23" t="str">
        <x:v>Spencer-Runolfsson</x:v>
      </x:c>
      <x:c r="B172" s="24" t="n">
        <x:v>47</x:v>
      </x:c>
    </x:row>
    <x:row r="173">
      <x:c r="A173" s="23" t="str">
        <x:v>Conroy-Emard</x:v>
      </x:c>
      <x:c r="B173" s="24" t="n">
        <x:v>48</x:v>
      </x:c>
    </x:row>
    <x:row r="174">
      <x:c r="A174" s="23" t="str">
        <x:v>Deckow-Dare</x:v>
      </x:c>
      <x:c r="B174" s="24" t="n">
        <x:v>48</x:v>
      </x:c>
    </x:row>
    <x:row r="175">
      <x:c r="A175" s="23" t="str">
        <x:v>Hermann-Gaylord</x:v>
      </x:c>
      <x:c r="B175" s="24" t="n">
        <x:v>48</x:v>
      </x:c>
    </x:row>
    <x:row r="176">
      <x:c r="A176" s="23" t="str">
        <x:v>Jones, Sawayn and Romaguera</x:v>
      </x:c>
      <x:c r="B176" s="24" t="n">
        <x:v>48</x:v>
      </x:c>
    </x:row>
    <x:row r="177">
      <x:c r="A177" s="23" t="str">
        <x:v>Kihn-Schuster</x:v>
      </x:c>
      <x:c r="B177" s="24" t="n">
        <x:v>48</x:v>
      </x:c>
    </x:row>
    <x:row r="178">
      <x:c r="A178" s="23" t="str">
        <x:v>Kris-Weimann</x:v>
      </x:c>
      <x:c r="B178" s="24" t="n">
        <x:v>48</x:v>
      </x:c>
    </x:row>
    <x:row r="179">
      <x:c r="A179" s="23" t="str">
        <x:v>Medhurst PLC</x:v>
      </x:c>
      <x:c r="B179" s="24" t="n">
        <x:v>48</x:v>
      </x:c>
    </x:row>
    <x:row r="180">
      <x:c r="A180" s="23" t="str">
        <x:v>Roberts-Beahan</x:v>
      </x:c>
      <x:c r="B180" s="24" t="n">
        <x:v>48</x:v>
      </x:c>
    </x:row>
    <x:row r="181">
      <x:c r="A181" s="23" t="str">
        <x:v>Zemlak Group</x:v>
      </x:c>
      <x:c r="B181" s="24" t="n">
        <x:v>48</x:v>
      </x:c>
    </x:row>
    <x:row r="182">
      <x:c r="A182" s="23" t="str">
        <x:v>Berge, Kautzer and Harris</x:v>
      </x:c>
      <x:c r="B182" s="24" t="n">
        <x:v>49</x:v>
      </x:c>
    </x:row>
    <x:row r="183">
      <x:c r="A183" s="23" t="str">
        <x:v>Block-Parisian</x:v>
      </x:c>
      <x:c r="B183" s="24" t="n">
        <x:v>49</x:v>
      </x:c>
    </x:row>
    <x:row r="184">
      <x:c r="A184" s="23" t="str">
        <x:v>Boehm, Block and Jakubowski</x:v>
      </x:c>
      <x:c r="B184" s="24" t="n">
        <x:v>49</x:v>
      </x:c>
    </x:row>
    <x:row r="185">
      <x:c r="A185" s="23" t="str">
        <x:v>Corwin-Gorczany</x:v>
      </x:c>
      <x:c r="B185" s="24" t="n">
        <x:v>49</x:v>
      </x:c>
    </x:row>
    <x:row r="186">
      <x:c r="A186" s="23" t="str">
        <x:v>Fadel-Hilpert</x:v>
      </x:c>
      <x:c r="B186" s="24" t="n">
        <x:v>49</x:v>
      </x:c>
    </x:row>
    <x:row r="187">
      <x:c r="A187" s="23" t="str">
        <x:v>Friesen Ltd</x:v>
      </x:c>
      <x:c r="B187" s="24" t="n">
        <x:v>49</x:v>
      </x:c>
    </x:row>
    <x:row r="188">
      <x:c r="A188" s="23" t="str">
        <x:v>Herman, Treutel and Dickens</x:v>
      </x:c>
      <x:c r="B188" s="24" t="n">
        <x:v>49</x:v>
      </x:c>
    </x:row>
    <x:row r="189">
      <x:c r="A189" s="23" t="str">
        <x:v>Huel Ltd</x:v>
      </x:c>
      <x:c r="B189" s="24" t="n">
        <x:v>49</x:v>
      </x:c>
    </x:row>
    <x:row r="190">
      <x:c r="A190" s="23" t="str">
        <x:v>Hyatt, Russel and Gleichner</x:v>
      </x:c>
      <x:c r="B190" s="24" t="n">
        <x:v>49</x:v>
      </x:c>
    </x:row>
    <x:row r="191">
      <x:c r="A191" s="23" t="str">
        <x:v>Torp-Lemke</x:v>
      </x:c>
      <x:c r="B191" s="24" t="n">
        <x:v>49</x:v>
      </x:c>
    </x:row>
    <x:row r="192">
      <x:c r="A192" s="23" t="str">
        <x:v>Towne LLC</x:v>
      </x:c>
      <x:c r="B192" s="24" t="n">
        <x:v>49</x:v>
      </x:c>
    </x:row>
    <x:row r="193">
      <x:c r="A193" s="23" t="str">
        <x:v>Brown, Homenick and Lesch</x:v>
      </x:c>
      <x:c r="B193" s="24" t="n">
        <x:v>50</x:v>
      </x:c>
    </x:row>
    <x:row r="194">
      <x:c r="A194" s="23" t="str">
        <x:v>Herman Inc</x:v>
      </x:c>
      <x:c r="B194" s="24" t="n">
        <x:v>50</x:v>
      </x:c>
    </x:row>
    <x:row r="195">
      <x:c r="A195" s="23" t="str">
        <x:v>Rippin-VonRueden</x:v>
      </x:c>
      <x:c r="B195" s="24" t="n">
        <x:v>50</x:v>
      </x:c>
    </x:row>
    <x:row r="196">
      <x:c r="A196" s="23" t="str">
        <x:v>Roob-Okuneva</x:v>
      </x:c>
      <x:c r="B196" s="24" t="n">
        <x:v>50</x:v>
      </x:c>
    </x:row>
    <x:row r="197">
      <x:c r="A197" s="23" t="str">
        <x:v>Stiedemann Ltd</x:v>
      </x:c>
      <x:c r="B197" s="24" t="n">
        <x:v>50</x:v>
      </x:c>
    </x:row>
    <x:row r="198">
      <x:c r="A198" s="23" t="str">
        <x:v>Thiel-Thiel</x:v>
      </x:c>
      <x:c r="B198" s="24" t="n">
        <x:v>50</x:v>
      </x:c>
    </x:row>
    <x:row r="199">
      <x:c r="A199" s="23" t="str">
        <x:v>Torphy-Kertzmann</x:v>
      </x:c>
      <x:c r="B199" s="24" t="n">
        <x:v>50</x:v>
      </x:c>
    </x:row>
    <x:row r="200">
      <x:c r="A200" s="23" t="str">
        <x:v>Welch Inc</x:v>
      </x:c>
      <x:c r="B200" s="24" t="n">
        <x:v>50</x:v>
      </x:c>
    </x:row>
    <x:row r="201">
      <x:c r="A201" s="23" t="str">
        <x:v>Williamson LLC</x:v>
      </x:c>
      <x:c r="B201" s="24" t="n">
        <x:v>50</x:v>
      </x:c>
    </x:row>
    <x:row r="202">
      <x:c r="A202" s="23" t="str">
        <x:v>Baumbach Ltd</x:v>
      </x:c>
      <x:c r="B202" s="24" t="n">
        <x:v>51</x:v>
      </x:c>
    </x:row>
    <x:row r="203">
      <x:c r="A203" s="23" t="str">
        <x:v>Heller PLC</x:v>
      </x:c>
      <x:c r="B203" s="24" t="n">
        <x:v>51</x:v>
      </x:c>
    </x:row>
    <x:row r="204">
      <x:c r="A204" s="23" t="str">
        <x:v>Kassulke Inc</x:v>
      </x:c>
      <x:c r="B204" s="24" t="n">
        <x:v>51</x:v>
      </x:c>
    </x:row>
    <x:row r="205">
      <x:c r="A205" s="23" t="str">
        <x:v>Kuhn Group</x:v>
      </x:c>
      <x:c r="B205" s="24" t="n">
        <x:v>51</x:v>
      </x:c>
    </x:row>
    <x:row r="206">
      <x:c r="A206" s="23" t="str">
        <x:v>Lebsack and Sons</x:v>
      </x:c>
      <x:c r="B206" s="24" t="n">
        <x:v>51</x:v>
      </x:c>
    </x:row>
    <x:row r="207">
      <x:c r="A207" s="23" t="str">
        <x:v>Leffler-Goldner</x:v>
      </x:c>
      <x:c r="B207" s="24" t="n">
        <x:v>51</x:v>
      </x:c>
    </x:row>
    <x:row r="208">
      <x:c r="A208" s="23" t="str">
        <x:v>Lubowitz, Terry and Stracke</x:v>
      </x:c>
      <x:c r="B208" s="24" t="n">
        <x:v>51</x:v>
      </x:c>
    </x:row>
    <x:row r="209">
      <x:c r="A209" s="23" t="str">
        <x:v>Rolfson-Kunde</x:v>
      </x:c>
      <x:c r="B209" s="24" t="n">
        <x:v>51</x:v>
      </x:c>
    </x:row>
    <x:row r="210">
      <x:c r="A210" s="23" t="str">
        <x:v>Watsica LLC</x:v>
      </x:c>
      <x:c r="B210" s="24" t="n">
        <x:v>51</x:v>
      </x:c>
    </x:row>
    <x:row r="211">
      <x:c r="A211" s="23" t="str">
        <x:v>Beier LLC</x:v>
      </x:c>
      <x:c r="B211" s="24" t="n">
        <x:v>52</x:v>
      </x:c>
    </x:row>
    <x:row r="212">
      <x:c r="A212" s="23" t="str">
        <x:v>Bins-Howell</x:v>
      </x:c>
      <x:c r="B212" s="24" t="n">
        <x:v>52</x:v>
      </x:c>
    </x:row>
    <x:row r="213">
      <x:c r="A213" s="23" t="str">
        <x:v>Connelly PLC</x:v>
      </x:c>
      <x:c r="B213" s="24" t="n">
        <x:v>52</x:v>
      </x:c>
    </x:row>
    <x:row r="214">
      <x:c r="A214" s="23" t="str">
        <x:v>Feil, Hilpert and Koss</x:v>
      </x:c>
      <x:c r="B214" s="24" t="n">
        <x:v>52</x:v>
      </x:c>
    </x:row>
    <x:row r="215">
      <x:c r="A215" s="23" t="str">
        <x:v>Hermiston, Pacocha and Smith</x:v>
      </x:c>
      <x:c r="B215" s="24" t="n">
        <x:v>52</x:v>
      </x:c>
    </x:row>
    <x:row r="216">
      <x:c r="A216" s="23" t="str">
        <x:v>Jaskolski-Vandervort</x:v>
      </x:c>
      <x:c r="B216" s="24" t="n">
        <x:v>52</x:v>
      </x:c>
    </x:row>
    <x:row r="217">
      <x:c r="A217" s="23" t="str">
        <x:v>Kub-Heaney</x:v>
      </x:c>
      <x:c r="B217" s="24" t="n">
        <x:v>52</x:v>
      </x:c>
    </x:row>
    <x:row r="218">
      <x:c r="A218" s="23" t="str">
        <x:v>Lehner, Mosciski and King</x:v>
      </x:c>
      <x:c r="B218" s="24" t="n">
        <x:v>52</x:v>
      </x:c>
    </x:row>
    <x:row r="219">
      <x:c r="A219" s="23" t="str">
        <x:v>Lind-Buckridge</x:v>
      </x:c>
      <x:c r="B219" s="24" t="n">
        <x:v>52</x:v>
      </x:c>
    </x:row>
    <x:row r="220">
      <x:c r="A220" s="23" t="str">
        <x:v>Maggio-Fahey</x:v>
      </x:c>
      <x:c r="B220" s="24" t="n">
        <x:v>52</x:v>
      </x:c>
    </x:row>
    <x:row r="221">
      <x:c r="A221" s="23" t="str">
        <x:v>Nader-Maggio</x:v>
      </x:c>
      <x:c r="B221" s="24" t="n">
        <x:v>52</x:v>
      </x:c>
    </x:row>
    <x:row r="222">
      <x:c r="A222" s="23" t="str">
        <x:v>Reichel Inc</x:v>
      </x:c>
      <x:c r="B222" s="24" t="n">
        <x:v>52</x:v>
      </x:c>
    </x:row>
    <x:row r="223">
      <x:c r="A223" s="23" t="str">
        <x:v>Reichel LLC</x:v>
      </x:c>
      <x:c r="B223" s="24" t="n">
        <x:v>52</x:v>
      </x:c>
    </x:row>
    <x:row r="224">
      <x:c r="A224" s="23" t="str">
        <x:v>Reilly and Sons</x:v>
      </x:c>
      <x:c r="B224" s="24" t="n">
        <x:v>52</x:v>
      </x:c>
    </x:row>
    <x:row r="225">
      <x:c r="A225" s="23" t="str">
        <x:v>Runte, Green and Emard</x:v>
      </x:c>
      <x:c r="B225" s="24" t="n">
        <x:v>52</x:v>
      </x:c>
    </x:row>
    <x:row r="226">
      <x:c r="A226" s="23" t="str">
        <x:v>Schmeler Inc</x:v>
      </x:c>
      <x:c r="B226" s="24" t="n">
        <x:v>52</x:v>
      </x:c>
    </x:row>
    <x:row r="227">
      <x:c r="A227" s="23" t="str">
        <x:v>Schuppe LLC</x:v>
      </x:c>
      <x:c r="B227" s="24" t="n">
        <x:v>52</x:v>
      </x:c>
    </x:row>
    <x:row r="228">
      <x:c r="A228" s="23" t="str">
        <x:v>Will Ltd</x:v>
      </x:c>
      <x:c r="B228" s="24" t="n">
        <x:v>52</x:v>
      </x:c>
    </x:row>
    <x:row r="229">
      <x:c r="A229" s="23" t="str">
        <x:v>Dickinson-Rempel</x:v>
      </x:c>
      <x:c r="B229" s="24" t="n">
        <x:v>53</x:v>
      </x:c>
    </x:row>
    <x:row r="230">
      <x:c r="A230" s="23" t="str">
        <x:v>Haag-Blanda</x:v>
      </x:c>
      <x:c r="B230" s="24" t="n">
        <x:v>53</x:v>
      </x:c>
    </x:row>
    <x:row r="231">
      <x:c r="A231" s="23" t="str">
        <x:v>Kihn, Brakus and Goyette</x:v>
      </x:c>
      <x:c r="B231" s="24" t="n">
        <x:v>53</x:v>
      </x:c>
    </x:row>
    <x:row r="232">
      <x:c r="A232" s="23" t="str">
        <x:v>Labadie LLC</x:v>
      </x:c>
      <x:c r="B232" s="24" t="n">
        <x:v>53</x:v>
      </x:c>
    </x:row>
    <x:row r="233">
      <x:c r="A233" s="23" t="str">
        <x:v>Larkin, Stracke and Greenfelder</x:v>
      </x:c>
      <x:c r="B233" s="24" t="n">
        <x:v>53</x:v>
      </x:c>
    </x:row>
    <x:row r="234">
      <x:c r="A234" s="23" t="str">
        <x:v>Schroeder Group</x:v>
      </x:c>
      <x:c r="B234" s="24" t="n">
        <x:v>53</x:v>
      </x:c>
    </x:row>
    <x:row r="235">
      <x:c r="A235" s="23" t="str">
        <x:v>Wisozk and Sons</x:v>
      </x:c>
      <x:c r="B235" s="24" t="n">
        <x:v>53</x:v>
      </x:c>
    </x:row>
    <x:row r="236">
      <x:c r="A236" s="23" t="str">
        <x:v>Wiza LLC</x:v>
      </x:c>
      <x:c r="B236" s="24" t="n">
        <x:v>53</x:v>
      </x:c>
    </x:row>
    <x:row r="237">
      <x:c r="A237" s="23" t="str">
        <x:v>Abernathy and Sons</x:v>
      </x:c>
      <x:c r="B237" s="24" t="n">
        <x:v>54</x:v>
      </x:c>
    </x:row>
    <x:row r="238">
      <x:c r="A238" s="23" t="str">
        <x:v>Bahringer Group</x:v>
      </x:c>
      <x:c r="B238" s="24" t="n">
        <x:v>54</x:v>
      </x:c>
    </x:row>
    <x:row r="239">
      <x:c r="A239" s="23" t="str">
        <x:v>Baumbach, Feeney and Morar</x:v>
      </x:c>
      <x:c r="B239" s="24" t="n">
        <x:v>54</x:v>
      </x:c>
    </x:row>
    <x:row r="240">
      <x:c r="A240" s="23" t="str">
        <x:v>Christiansen-Gusikowski</x:v>
      </x:c>
      <x:c r="B240" s="24" t="n">
        <x:v>54</x:v>
      </x:c>
    </x:row>
    <x:row r="241">
      <x:c r="A241" s="23" t="str">
        <x:v>Dietrich-Fadel</x:v>
      </x:c>
      <x:c r="B241" s="24" t="n">
        <x:v>54</x:v>
      </x:c>
    </x:row>
    <x:row r="242">
      <x:c r="A242" s="23" t="str">
        <x:v>Erdman-Durgan</x:v>
      </x:c>
      <x:c r="B242" s="24" t="n">
        <x:v>54</x:v>
      </x:c>
    </x:row>
    <x:row r="243">
      <x:c r="A243" s="23" t="str">
        <x:v>Erdman-Schaden</x:v>
      </x:c>
      <x:c r="B243" s="24" t="n">
        <x:v>54</x:v>
      </x:c>
    </x:row>
    <x:row r="244">
      <x:c r="A244" s="23" t="str">
        <x:v>Friesen-Ortiz</x:v>
      </x:c>
      <x:c r="B244" s="24" t="n">
        <x:v>54</x:v>
      </x:c>
    </x:row>
    <x:row r="245">
      <x:c r="A245" s="23" t="str">
        <x:v>Mante, Luettgen and Hackett</x:v>
      </x:c>
      <x:c r="B245" s="24" t="n">
        <x:v>54</x:v>
      </x:c>
    </x:row>
    <x:row r="246">
      <x:c r="A246" s="23" t="str">
        <x:v>McDermott-Rice</x:v>
      </x:c>
      <x:c r="B246" s="24" t="n">
        <x:v>54</x:v>
      </x:c>
    </x:row>
    <x:row r="247">
      <x:c r="A247" s="23" t="str">
        <x:v>Padberg-Rogahn</x:v>
      </x:c>
      <x:c r="B247" s="24" t="n">
        <x:v>54</x:v>
      </x:c>
    </x:row>
    <x:row r="248">
      <x:c r="A248" s="23" t="str">
        <x:v>Spencer PLC</x:v>
      </x:c>
      <x:c r="B248" s="24" t="n">
        <x:v>54</x:v>
      </x:c>
    </x:row>
    <x:row r="249">
      <x:c r="A249" s="23" t="str">
        <x:v>Stamm-Rodriguez</x:v>
      </x:c>
      <x:c r="B249" s="24" t="n">
        <x:v>54</x:v>
      </x:c>
    </x:row>
    <x:row r="250">
      <x:c r="A250" s="23" t="str">
        <x:v>Turner, Ruecker and Parisian</x:v>
      </x:c>
      <x:c r="B250" s="24" t="n">
        <x:v>54</x:v>
      </x:c>
    </x:row>
    <x:row r="251">
      <x:c r="A251" s="23" t="str">
        <x:v>Wintheiser, Dietrich and Schimmel</x:v>
      </x:c>
      <x:c r="B251" s="24" t="n">
        <x:v>54</x:v>
      </x:c>
    </x:row>
    <x:row r="252">
      <x:c r="A252" s="23" t="str">
        <x:v>Zulauf LLC</x:v>
      </x:c>
      <x:c r="B252" s="24" t="n">
        <x:v>54</x:v>
      </x:c>
    </x:row>
    <x:row r="253">
      <x:c r="A253" s="23" t="str">
        <x:v>Bahringer-Streich</x:v>
      </x:c>
      <x:c r="B253" s="24" t="n">
        <x:v>55</x:v>
      </x:c>
    </x:row>
    <x:row r="254">
      <x:c r="A254" s="23" t="str">
        <x:v>Bernhard-Lesch</x:v>
      </x:c>
      <x:c r="B254" s="24" t="n">
        <x:v>55</x:v>
      </x:c>
    </x:row>
    <x:row r="255">
      <x:c r="A255" s="23" t="str">
        <x:v>Cronin, Kshlerin and Weber</x:v>
      </x:c>
      <x:c r="B255" s="24" t="n">
        <x:v>55</x:v>
      </x:c>
    </x:row>
    <x:row r="256">
      <x:c r="A256" s="23" t="str">
        <x:v>Fadel Inc</x:v>
      </x:c>
      <x:c r="B256" s="24" t="n">
        <x:v>55</x:v>
      </x:c>
    </x:row>
    <x:row r="257">
      <x:c r="A257" s="23" t="str">
        <x:v>Hirthe-Beier</x:v>
      </x:c>
      <x:c r="B257" s="24" t="n">
        <x:v>55</x:v>
      </x:c>
    </x:row>
    <x:row r="258">
      <x:c r="A258" s="23" t="str">
        <x:v>Kub PLC</x:v>
      </x:c>
      <x:c r="B258" s="24" t="n">
        <x:v>55</x:v>
      </x:c>
    </x:row>
    <x:row r="259">
      <x:c r="A259" s="23" t="str">
        <x:v>Leannon-Ward</x:v>
      </x:c>
      <x:c r="B259" s="24" t="n">
        <x:v>55</x:v>
      </x:c>
    </x:row>
    <x:row r="260">
      <x:c r="A260" s="23" t="str">
        <x:v>Lehner, Reichert and Mills</x:v>
      </x:c>
      <x:c r="B260" s="24" t="n">
        <x:v>55</x:v>
      </x:c>
    </x:row>
    <x:row r="261">
      <x:c r="A261" s="23" t="str">
        <x:v>McGlynn-Jaskolski</x:v>
      </x:c>
      <x:c r="B261" s="24" t="n">
        <x:v>55</x:v>
      </x:c>
    </x:row>
    <x:row r="262">
      <x:c r="A262" s="23" t="str">
        <x:v>Schuppe-Schuppe</x:v>
      </x:c>
      <x:c r="B262" s="24" t="n">
        <x:v>55</x:v>
      </x:c>
    </x:row>
    <x:row r="263">
      <x:c r="A263" s="23" t="str">
        <x:v>Streich, Dietrich and Barton</x:v>
      </x:c>
      <x:c r="B263" s="24" t="n">
        <x:v>55</x:v>
      </x:c>
    </x:row>
    <x:row r="264">
      <x:c r="A264" s="23" t="str">
        <x:v>Thompson-Gleason</x:v>
      </x:c>
      <x:c r="B264" s="24" t="n">
        <x:v>55</x:v>
      </x:c>
    </x:row>
    <x:row r="265">
      <x:c r="A265" s="23" t="str">
        <x:v>Zboncak LLC</x:v>
      </x:c>
      <x:c r="B265" s="24" t="n">
        <x:v>55</x:v>
      </x:c>
    </x:row>
    <x:row r="266">
      <x:c r="A266" s="23" t="str">
        <x:v>Adams-Barrows</x:v>
      </x:c>
      <x:c r="B266" s="24" t="n">
        <x:v>56</x:v>
      </x:c>
    </x:row>
    <x:row r="267">
      <x:c r="A267" s="23" t="str">
        <x:v>Ankunding LLC</x:v>
      </x:c>
      <x:c r="B267" s="24" t="n">
        <x:v>56</x:v>
      </x:c>
    </x:row>
    <x:row r="268">
      <x:c r="A268" s="23" t="str">
        <x:v>Barrows PLC</x:v>
      </x:c>
      <x:c r="B268" s="24" t="n">
        <x:v>56</x:v>
      </x:c>
    </x:row>
    <x:row r="269">
      <x:c r="A269" s="23" t="str">
        <x:v>Cruickshank-Mills</x:v>
      </x:c>
      <x:c r="B269" s="24" t="n">
        <x:v>56</x:v>
      </x:c>
    </x:row>
    <x:row r="270">
      <x:c r="A270" s="23" t="str">
        <x:v>Dare-Marvin</x:v>
      </x:c>
      <x:c r="B270" s="24" t="n">
        <x:v>56</x:v>
      </x:c>
    </x:row>
    <x:row r="271">
      <x:c r="A271" s="23" t="str">
        <x:v>Dibbert-Green</x:v>
      </x:c>
      <x:c r="B271" s="24" t="n">
        <x:v>56</x:v>
      </x:c>
    </x:row>
    <x:row r="272">
      <x:c r="A272" s="23" t="str">
        <x:v>Effertz LLC</x:v>
      </x:c>
      <x:c r="B272" s="24" t="n">
        <x:v>56</x:v>
      </x:c>
    </x:row>
    <x:row r="273">
      <x:c r="A273" s="23" t="str">
        <x:v>Flatley Group</x:v>
      </x:c>
      <x:c r="B273" s="24" t="n">
        <x:v>56</x:v>
      </x:c>
    </x:row>
    <x:row r="274">
      <x:c r="A274" s="23" t="str">
        <x:v>Hamill-D'Amore</x:v>
      </x:c>
      <x:c r="B274" s="24" t="n">
        <x:v>56</x:v>
      </x:c>
    </x:row>
    <x:row r="275">
      <x:c r="A275" s="23" t="str">
        <x:v>Kozey-Boehm</x:v>
      </x:c>
      <x:c r="B275" s="24" t="n">
        <x:v>56</x:v>
      </x:c>
    </x:row>
    <x:row r="276">
      <x:c r="A276" s="23" t="str">
        <x:v>Lakin, Ferry and Beatty</x:v>
      </x:c>
      <x:c r="B276" s="24" t="n">
        <x:v>56</x:v>
      </x:c>
    </x:row>
    <x:row r="277">
      <x:c r="A277" s="23" t="str">
        <x:v>McCullough, Hudson and Schuster</x:v>
      </x:c>
      <x:c r="B277" s="24" t="n">
        <x:v>56</x:v>
      </x:c>
    </x:row>
    <x:row r="278">
      <x:c r="A278" s="23" t="str">
        <x:v>Mosciski, Ziemann and Farrell</x:v>
      </x:c>
      <x:c r="B278" s="24" t="n">
        <x:v>56</x:v>
      </x:c>
    </x:row>
    <x:row r="279">
      <x:c r="A279" s="23" t="str">
        <x:v>Nienow, Ankunding and Collier</x:v>
      </x:c>
      <x:c r="B279" s="24" t="n">
        <x:v>56</x:v>
      </x:c>
    </x:row>
    <x:row r="280">
      <x:c r="A280" s="23" t="str">
        <x:v>Romaguera Ltd</x:v>
      </x:c>
      <x:c r="B280" s="24" t="n">
        <x:v>56</x:v>
      </x:c>
    </x:row>
    <x:row r="281">
      <x:c r="A281" s="23" t="str">
        <x:v>Smith-Stokes</x:v>
      </x:c>
      <x:c r="B281" s="24" t="n">
        <x:v>56</x:v>
      </x:c>
    </x:row>
    <x:row r="282">
      <x:c r="A282" s="23" t="str">
        <x:v>Volkman PLC</x:v>
      </x:c>
      <x:c r="B282" s="24" t="n">
        <x:v>56</x:v>
      </x:c>
    </x:row>
    <x:row r="283">
      <x:c r="A283" s="23" t="str">
        <x:v>Ziemann-Waters</x:v>
      </x:c>
      <x:c r="B283" s="24" t="n">
        <x:v>56</x:v>
      </x:c>
    </x:row>
    <x:row r="284">
      <x:c r="A284" s="23" t="str">
        <x:v>Emmerich-Rau</x:v>
      </x:c>
      <x:c r="B284" s="24" t="n">
        <x:v>57</x:v>
      </x:c>
    </x:row>
    <x:row r="285">
      <x:c r="A285" s="23" t="str">
        <x:v>Gottlieb-Hansen</x:v>
      </x:c>
      <x:c r="B285" s="24" t="n">
        <x:v>57</x:v>
      </x:c>
    </x:row>
    <x:row r="286">
      <x:c r="A286" s="23" t="str">
        <x:v>Haley Group</x:v>
      </x:c>
      <x:c r="B286" s="24" t="n">
        <x:v>57</x:v>
      </x:c>
    </x:row>
    <x:row r="287">
      <x:c r="A287" s="23" t="str">
        <x:v>Jakubowski Group</x:v>
      </x:c>
      <x:c r="B287" s="24" t="n">
        <x:v>57</x:v>
      </x:c>
    </x:row>
    <x:row r="288">
      <x:c r="A288" s="23" t="str">
        <x:v>Jast Ltd</x:v>
      </x:c>
      <x:c r="B288" s="24" t="n">
        <x:v>57</x:v>
      </x:c>
    </x:row>
    <x:row r="289">
      <x:c r="A289" s="23" t="str">
        <x:v>Johns-Hoeger</x:v>
      </x:c>
      <x:c r="B289" s="24" t="n">
        <x:v>57</x:v>
      </x:c>
    </x:row>
    <x:row r="290">
      <x:c r="A290" s="23" t="str">
        <x:v>Lesch, D'Amore and Brown</x:v>
      </x:c>
      <x:c r="B290" s="24" t="n">
        <x:v>57</x:v>
      </x:c>
    </x:row>
    <x:row r="291">
      <x:c r="A291" s="23" t="str">
        <x:v>Quitzon, Green and Bashirian</x:v>
      </x:c>
      <x:c r="B291" s="24" t="n">
        <x:v>57</x:v>
      </x:c>
    </x:row>
    <x:row r="292">
      <x:c r="A292" s="23" t="str">
        <x:v>Reichert, Huels and Hoppe</x:v>
      </x:c>
      <x:c r="B292" s="24" t="n">
        <x:v>57</x:v>
      </x:c>
    </x:row>
    <x:row r="293">
      <x:c r="A293" s="23" t="str">
        <x:v>Reinger, Weissnat and Strosin</x:v>
      </x:c>
      <x:c r="B293" s="24" t="n">
        <x:v>57</x:v>
      </x:c>
    </x:row>
    <x:row r="294">
      <x:c r="A294" s="23" t="str">
        <x:v>Runolfsdottir, Mueller and Hand</x:v>
      </x:c>
      <x:c r="B294" s="24" t="n">
        <x:v>57</x:v>
      </x:c>
    </x:row>
    <x:row r="295">
      <x:c r="A295" s="23" t="str">
        <x:v>Schoen-Quigley</x:v>
      </x:c>
      <x:c r="B295" s="24" t="n">
        <x:v>57</x:v>
      </x:c>
    </x:row>
    <x:row r="296">
      <x:c r="A296" s="23" t="str">
        <x:v>Torp, Muller and Borer</x:v>
      </x:c>
      <x:c r="B296" s="24" t="n">
        <x:v>57</x:v>
      </x:c>
    </x:row>
    <x:row r="297">
      <x:c r="A297" s="23" t="str">
        <x:v>Bauch-Blanda</x:v>
      </x:c>
      <x:c r="B297" s="24" t="n">
        <x:v>58</x:v>
      </x:c>
    </x:row>
    <x:row r="298">
      <x:c r="A298" s="23" t="str">
        <x:v>Fritsch and Sons</x:v>
      </x:c>
      <x:c r="B298" s="24" t="n">
        <x:v>58</x:v>
      </x:c>
    </x:row>
    <x:row r="299">
      <x:c r="A299" s="23" t="str">
        <x:v>Gottlieb, Considine and Schultz</x:v>
      </x:c>
      <x:c r="B299" s="24" t="n">
        <x:v>58</x:v>
      </x:c>
    </x:row>
    <x:row r="300">
      <x:c r="A300" s="23" t="str">
        <x:v>Harris Group</x:v>
      </x:c>
      <x:c r="B300" s="24" t="n">
        <x:v>58</x:v>
      </x:c>
    </x:row>
    <x:row r="301">
      <x:c r="A301" s="23" t="str">
        <x:v>Jacobi Inc</x:v>
      </x:c>
      <x:c r="B301" s="24" t="n">
        <x:v>58</x:v>
      </x:c>
    </x:row>
    <x:row r="302">
      <x:c r="A302" s="23" t="str">
        <x:v>Moen, Reinger and Murphy</x:v>
      </x:c>
      <x:c r="B302" s="24" t="n">
        <x:v>58</x:v>
      </x:c>
    </x:row>
    <x:row r="303">
      <x:c r="A303" s="23" t="str">
        <x:v>Mohr Inc</x:v>
      </x:c>
      <x:c r="B303" s="24" t="n">
        <x:v>58</x:v>
      </x:c>
    </x:row>
    <x:row r="304">
      <x:c r="A304" s="23" t="str">
        <x:v>Osinski Inc</x:v>
      </x:c>
      <x:c r="B304" s="24" t="n">
        <x:v>58</x:v>
      </x:c>
    </x:row>
    <x:row r="305">
      <x:c r="A305" s="23" t="str">
        <x:v>Ratke and Sons</x:v>
      </x:c>
      <x:c r="B305" s="24" t="n">
        <x:v>58</x:v>
      </x:c>
    </x:row>
    <x:row r="306">
      <x:c r="A306" s="23" t="str">
        <x:v>Simonis-Prohaska</x:v>
      </x:c>
      <x:c r="B306" s="24" t="n">
        <x:v>58</x:v>
      </x:c>
    </x:row>
    <x:row r="307">
      <x:c r="A307" s="23" t="str">
        <x:v>Stiedemann Inc</x:v>
      </x:c>
      <x:c r="B307" s="24" t="n">
        <x:v>58</x:v>
      </x:c>
    </x:row>
    <x:row r="308">
      <x:c r="A308" s="23" t="str">
        <x:v>Turner, Ziemann and Lehner</x:v>
      </x:c>
      <x:c r="B308" s="24" t="n">
        <x:v>58</x:v>
      </x:c>
    </x:row>
    <x:row r="309">
      <x:c r="A309" s="23" t="str">
        <x:v>Welch, Rath and Koepp</x:v>
      </x:c>
      <x:c r="B309" s="24" t="n">
        <x:v>58</x:v>
      </x:c>
    </x:row>
    <x:row r="310">
      <x:c r="A310" s="23" t="str">
        <x:v>Berge-Hills</x:v>
      </x:c>
      <x:c r="B310" s="24" t="n">
        <x:v>59</x:v>
      </x:c>
    </x:row>
    <x:row r="311">
      <x:c r="A311" s="23" t="str">
        <x:v>Bins-Tillman</x:v>
      </x:c>
      <x:c r="B311" s="24" t="n">
        <x:v>59</x:v>
      </x:c>
    </x:row>
    <x:row r="312">
      <x:c r="A312" s="23" t="str">
        <x:v>Cormier, Stracke and Thiel</x:v>
      </x:c>
      <x:c r="B312" s="24" t="n">
        <x:v>59</x:v>
      </x:c>
    </x:row>
    <x:row r="313">
      <x:c r="A313" s="23" t="str">
        <x:v>Erdman-Ebert</x:v>
      </x:c>
      <x:c r="B313" s="24" t="n">
        <x:v>59</x:v>
      </x:c>
    </x:row>
    <x:row r="314">
      <x:c r="A314" s="23" t="str">
        <x:v>Frami Group</x:v>
      </x:c>
      <x:c r="B314" s="24" t="n">
        <x:v>59</x:v>
      </x:c>
    </x:row>
    <x:row r="315">
      <x:c r="A315" s="23" t="str">
        <x:v>Greenholt, O'Hara and Balistreri</x:v>
      </x:c>
      <x:c r="B315" s="24" t="n">
        <x:v>59</x:v>
      </x:c>
    </x:row>
    <x:row r="316">
      <x:c r="A316" s="23" t="str">
        <x:v>Hauck, Dietrich and Funk</x:v>
      </x:c>
      <x:c r="B316" s="24" t="n">
        <x:v>59</x:v>
      </x:c>
    </x:row>
    <x:row r="317">
      <x:c r="A317" s="23" t="str">
        <x:v>Koss, McLaughlin and Mayer</x:v>
      </x:c>
      <x:c r="B317" s="24" t="n">
        <x:v>59</x:v>
      </x:c>
    </x:row>
    <x:row r="318">
      <x:c r="A318" s="23" t="str">
        <x:v>O'Hara-Wilderman</x:v>
      </x:c>
      <x:c r="B318" s="24" t="n">
        <x:v>59</x:v>
      </x:c>
    </x:row>
    <x:row r="319">
      <x:c r="A319" s="23" t="str">
        <x:v>Sporer-Keebler</x:v>
      </x:c>
      <x:c r="B319" s="24" t="n">
        <x:v>59</x:v>
      </x:c>
    </x:row>
    <x:row r="320">
      <x:c r="A320" s="23" t="str">
        <x:v>Stanton, Jakubowski and Baumbach</x:v>
      </x:c>
      <x:c r="B320" s="24" t="n">
        <x:v>59</x:v>
      </x:c>
    </x:row>
    <x:row r="321">
      <x:c r="A321" s="23" t="str">
        <x:v>Weber and Sons</x:v>
      </x:c>
      <x:c r="B321" s="24" t="n">
        <x:v>59</x:v>
      </x:c>
    </x:row>
    <x:row r="322">
      <x:c r="A322" s="23" t="str">
        <x:v>Bahringer, Osinski and Block</x:v>
      </x:c>
      <x:c r="B322" s="24" t="n">
        <x:v>60</x:v>
      </x:c>
    </x:row>
    <x:row r="323">
      <x:c r="A323" s="23" t="str">
        <x:v>Gutmann-Upton</x:v>
      </x:c>
      <x:c r="B323" s="24" t="n">
        <x:v>60</x:v>
      </x:c>
    </x:row>
    <x:row r="324">
      <x:c r="A324" s="23" t="str">
        <x:v>Konopelski, Schneider and Hartmann</x:v>
      </x:c>
      <x:c r="B324" s="24" t="n">
        <x:v>60</x:v>
      </x:c>
    </x:row>
    <x:row r="325">
      <x:c r="A325" s="23" t="str">
        <x:v>Langosh, Wintheiser and Hyatt</x:v>
      </x:c>
      <x:c r="B325" s="24" t="n">
        <x:v>60</x:v>
      </x:c>
    </x:row>
    <x:row r="326">
      <x:c r="A326" s="23" t="str">
        <x:v>Langworth LLC</x:v>
      </x:c>
      <x:c r="B326" s="24" t="n">
        <x:v>60</x:v>
      </x:c>
    </x:row>
    <x:row r="327">
      <x:c r="A327" s="23" t="str">
        <x:v>McCullough LLC</x:v>
      </x:c>
      <x:c r="B327" s="24" t="n">
        <x:v>60</x:v>
      </x:c>
    </x:row>
    <x:row r="328">
      <x:c r="A328" s="23" t="str">
        <x:v>Metz-Boehm</x:v>
      </x:c>
      <x:c r="B328" s="24" t="n">
        <x:v>60</x:v>
      </x:c>
    </x:row>
    <x:row r="329">
      <x:c r="A329" s="23" t="str">
        <x:v>O'Keefe-Wisoky</x:v>
      </x:c>
      <x:c r="B329" s="24" t="n">
        <x:v>60</x:v>
      </x:c>
    </x:row>
    <x:row r="330">
      <x:c r="A330" s="23" t="str">
        <x:v>Parker-Kunde</x:v>
      </x:c>
      <x:c r="B330" s="24" t="n">
        <x:v>60</x:v>
      </x:c>
    </x:row>
    <x:row r="331">
      <x:c r="A331" s="23" t="str">
        <x:v>Schmeler-Howe</x:v>
      </x:c>
      <x:c r="B331" s="24" t="n">
        <x:v>60</x:v>
      </x:c>
    </x:row>
    <x:row r="332">
      <x:c r="A332" s="23" t="str">
        <x:v>Schneider, Hayes and Nikolaus</x:v>
      </x:c>
      <x:c r="B332" s="24" t="n">
        <x:v>60</x:v>
      </x:c>
    </x:row>
    <x:row r="333">
      <x:c r="A333" s="23" t="str">
        <x:v>Schroeder, Hauck and Treutel</x:v>
      </x:c>
      <x:c r="B333" s="24" t="n">
        <x:v>60</x:v>
      </x:c>
    </x:row>
    <x:row r="334">
      <x:c r="A334" s="23" t="str">
        <x:v>Waters-Cruickshank</x:v>
      </x:c>
      <x:c r="B334" s="24" t="n">
        <x:v>60</x:v>
      </x:c>
    </x:row>
    <x:row r="335">
      <x:c r="A335" s="23" t="str">
        <x:v>Wilkinson LLC</x:v>
      </x:c>
      <x:c r="B335" s="24" t="n">
        <x:v>60</x:v>
      </x:c>
    </x:row>
    <x:row r="336">
      <x:c r="A336" s="23" t="str">
        <x:v>Yost-Rogahn</x:v>
      </x:c>
      <x:c r="B336" s="24" t="n">
        <x:v>60</x:v>
      </x:c>
    </x:row>
    <x:row r="337">
      <x:c r="A337" s="23" t="str">
        <x:v>Berge-Ullrich</x:v>
      </x:c>
      <x:c r="B337" s="24" t="n">
        <x:v>61</x:v>
      </x:c>
    </x:row>
    <x:row r="338">
      <x:c r="A338" s="23" t="str">
        <x:v>Brown-Greenholt</x:v>
      </x:c>
      <x:c r="B338" s="24" t="n">
        <x:v>61</x:v>
      </x:c>
    </x:row>
    <x:row r="339">
      <x:c r="A339" s="23" t="str">
        <x:v>Dare, Casper and Bartoletti</x:v>
      </x:c>
      <x:c r="B339" s="24" t="n">
        <x:v>61</x:v>
      </x:c>
    </x:row>
    <x:row r="340">
      <x:c r="A340" s="23" t="str">
        <x:v>Douglas-White</x:v>
      </x:c>
      <x:c r="B340" s="24" t="n">
        <x:v>61</x:v>
      </x:c>
    </x:row>
    <x:row r="341">
      <x:c r="A341" s="23" t="str">
        <x:v>Fadel, Mertz and Rippin</x:v>
      </x:c>
      <x:c r="B341" s="24" t="n">
        <x:v>61</x:v>
      </x:c>
    </x:row>
    <x:row r="342">
      <x:c r="A342" s="23" t="str">
        <x:v>Graham and Sons</x:v>
      </x:c>
      <x:c r="B342" s="24" t="n">
        <x:v>61</x:v>
      </x:c>
    </x:row>
    <x:row r="343">
      <x:c r="A343" s="23" t="str">
        <x:v>Greenholt Ltd</x:v>
      </x:c>
      <x:c r="B343" s="24" t="n">
        <x:v>61</x:v>
      </x:c>
    </x:row>
    <x:row r="344">
      <x:c r="A344" s="23" t="str">
        <x:v>Heathcote LLC</x:v>
      </x:c>
      <x:c r="B344" s="24" t="n">
        <x:v>61</x:v>
      </x:c>
    </x:row>
    <x:row r="345">
      <x:c r="A345" s="23" t="str">
        <x:v>Jast and Sons</x:v>
      </x:c>
      <x:c r="B345" s="24" t="n">
        <x:v>61</x:v>
      </x:c>
    </x:row>
    <x:row r="346">
      <x:c r="A346" s="23" t="str">
        <x:v>Keeling-Crist</x:v>
      </x:c>
      <x:c r="B346" s="24" t="n">
        <x:v>61</x:v>
      </x:c>
    </x:row>
    <x:row r="347">
      <x:c r="A347" s="23" t="str">
        <x:v>Kemmer-Buckridge</x:v>
      </x:c>
      <x:c r="B347" s="24" t="n">
        <x:v>61</x:v>
      </x:c>
    </x:row>
    <x:row r="348">
      <x:c r="A348" s="23" t="str">
        <x:v>Kerluke-Abshire</x:v>
      </x:c>
      <x:c r="B348" s="24" t="n">
        <x:v>61</x:v>
      </x:c>
    </x:row>
    <x:row r="349">
      <x:c r="A349" s="23" t="str">
        <x:v>Kihn-Fritsch</x:v>
      </x:c>
      <x:c r="B349" s="24" t="n">
        <x:v>61</x:v>
      </x:c>
    </x:row>
    <x:row r="350">
      <x:c r="A350" s="23" t="str">
        <x:v>Kilback and Sons</x:v>
      </x:c>
      <x:c r="B350" s="24" t="n">
        <x:v>61</x:v>
      </x:c>
    </x:row>
    <x:row r="351">
      <x:c r="A351" s="23" t="str">
        <x:v>Klein Group</x:v>
      </x:c>
      <x:c r="B351" s="24" t="n">
        <x:v>61</x:v>
      </x:c>
    </x:row>
    <x:row r="352">
      <x:c r="A352" s="23" t="str">
        <x:v>Kutch, Steuber and Gerhold</x:v>
      </x:c>
      <x:c r="B352" s="24" t="n">
        <x:v>61</x:v>
      </x:c>
    </x:row>
    <x:row r="353">
      <x:c r="A353" s="23" t="str">
        <x:v>Larson-Moen</x:v>
      </x:c>
      <x:c r="B353" s="24" t="n">
        <x:v>61</x:v>
      </x:c>
    </x:row>
    <x:row r="354">
      <x:c r="A354" s="23" t="str">
        <x:v>Mueller, Gerhold and Mueller</x:v>
      </x:c>
      <x:c r="B354" s="24" t="n">
        <x:v>61</x:v>
      </x:c>
    </x:row>
    <x:row r="355">
      <x:c r="A355" s="23" t="str">
        <x:v>Shanahan-Lehner</x:v>
      </x:c>
      <x:c r="B355" s="24" t="n">
        <x:v>61</x:v>
      </x:c>
    </x:row>
    <x:row r="356">
      <x:c r="A356" s="23" t="str">
        <x:v>Sporer Inc</x:v>
      </x:c>
      <x:c r="B356" s="24" t="n">
        <x:v>61</x:v>
      </x:c>
    </x:row>
    <x:row r="357">
      <x:c r="A357" s="23" t="str">
        <x:v>Armstrong, Walter and Gottlieb</x:v>
      </x:c>
      <x:c r="B357" s="24" t="n">
        <x:v>62</x:v>
      </x:c>
    </x:row>
    <x:row r="358">
      <x:c r="A358" s="23" t="str">
        <x:v>Cremin, Hamill and Reichel</x:v>
      </x:c>
      <x:c r="B358" s="24" t="n">
        <x:v>62</x:v>
      </x:c>
    </x:row>
    <x:row r="359">
      <x:c r="A359" s="23" t="str">
        <x:v>Feil-Morar</x:v>
      </x:c>
      <x:c r="B359" s="24" t="n">
        <x:v>62</x:v>
      </x:c>
    </x:row>
    <x:row r="360">
      <x:c r="A360" s="23" t="str">
        <x:v>Haley, Batz and Auer</x:v>
      </x:c>
      <x:c r="B360" s="24" t="n">
        <x:v>62</x:v>
      </x:c>
    </x:row>
    <x:row r="361">
      <x:c r="A361" s="23" t="str">
        <x:v>Herzog Ltd</x:v>
      </x:c>
      <x:c r="B361" s="24" t="n">
        <x:v>62</x:v>
      </x:c>
    </x:row>
    <x:row r="362">
      <x:c r="A362" s="23" t="str">
        <x:v>Hills-Boyer</x:v>
      </x:c>
      <x:c r="B362" s="24" t="n">
        <x:v>62</x:v>
      </x:c>
    </x:row>
    <x:row r="363">
      <x:c r="A363" s="23" t="str">
        <x:v>Hills, Hegmann and Schaefer</x:v>
      </x:c>
      <x:c r="B363" s="24" t="n">
        <x:v>62</x:v>
      </x:c>
    </x:row>
    <x:row r="364">
      <x:c r="A364" s="23" t="str">
        <x:v>Johns Inc</x:v>
      </x:c>
      <x:c r="B364" s="24" t="n">
        <x:v>62</x:v>
      </x:c>
    </x:row>
    <x:row r="365">
      <x:c r="A365" s="23" t="str">
        <x:v>Klocko, Runolfsdottir and Breitenberg</x:v>
      </x:c>
      <x:c r="B365" s="24" t="n">
        <x:v>62</x:v>
      </x:c>
    </x:row>
    <x:row r="366">
      <x:c r="A366" s="23" t="str">
        <x:v>Labadie, Treutel and Bode</x:v>
      </x:c>
      <x:c r="B366" s="24" t="n">
        <x:v>62</x:v>
      </x:c>
    </x:row>
    <x:row r="367">
      <x:c r="A367" s="23" t="str">
        <x:v>Marvin-Lind</x:v>
      </x:c>
      <x:c r="B367" s="24" t="n">
        <x:v>62</x:v>
      </x:c>
    </x:row>
    <x:row r="368">
      <x:c r="A368" s="23" t="str">
        <x:v>Mohr-Bayer</x:v>
      </x:c>
      <x:c r="B368" s="24" t="n">
        <x:v>62</x:v>
      </x:c>
    </x:row>
    <x:row r="369">
      <x:c r="A369" s="23" t="str">
        <x:v>O'Keefe-Hudson</x:v>
      </x:c>
      <x:c r="B369" s="24" t="n">
        <x:v>62</x:v>
      </x:c>
    </x:row>
    <x:row r="370">
      <x:c r="A370" s="23" t="str">
        <x:v>Turcotte, McKenzie and Koss</x:v>
      </x:c>
      <x:c r="B370" s="24" t="n">
        <x:v>62</x:v>
      </x:c>
    </x:row>
    <x:row r="371">
      <x:c r="A371" s="23" t="str">
        <x:v>Volkman-Predovic</x:v>
      </x:c>
      <x:c r="B371" s="24" t="n">
        <x:v>62</x:v>
      </x:c>
    </x:row>
    <x:row r="372">
      <x:c r="A372" s="23" t="str">
        <x:v>Wilkinson PLC</x:v>
      </x:c>
      <x:c r="B372" s="24" t="n">
        <x:v>62</x:v>
      </x:c>
    </x:row>
    <x:row r="373">
      <x:c r="A373" s="23" t="str">
        <x:v>Yost, Block and Koepp</x:v>
      </x:c>
      <x:c r="B373" s="24" t="n">
        <x:v>62</x:v>
      </x:c>
    </x:row>
    <x:row r="374">
      <x:c r="A374" s="23" t="str">
        <x:v>Brown Inc</x:v>
      </x:c>
      <x:c r="B374" s="24" t="n">
        <x:v>63</x:v>
      </x:c>
    </x:row>
    <x:row r="375">
      <x:c r="A375" s="23" t="str">
        <x:v>Daugherty LLC</x:v>
      </x:c>
      <x:c r="B375" s="24" t="n">
        <x:v>63</x:v>
      </x:c>
    </x:row>
    <x:row r="376">
      <x:c r="A376" s="23" t="str">
        <x:v>Goldner-Lemke</x:v>
      </x:c>
      <x:c r="B376" s="24" t="n">
        <x:v>63</x:v>
      </x:c>
    </x:row>
    <x:row r="377">
      <x:c r="A377" s="23" t="str">
        <x:v>Goyette-Gerhold</x:v>
      </x:c>
      <x:c r="B377" s="24" t="n">
        <x:v>63</x:v>
      </x:c>
    </x:row>
    <x:row r="378">
      <x:c r="A378" s="23" t="str">
        <x:v>Hoppe-Parisian</x:v>
      </x:c>
      <x:c r="B378" s="24" t="n">
        <x:v>63</x:v>
      </x:c>
    </x:row>
    <x:row r="379">
      <x:c r="A379" s="23" t="str">
        <x:v>Hoppe, Harris and Bednar</x:v>
      </x:c>
      <x:c r="B379" s="24" t="n">
        <x:v>63</x:v>
      </x:c>
    </x:row>
    <x:row r="380">
      <x:c r="A380" s="23" t="str">
        <x:v>Kilback Group</x:v>
      </x:c>
      <x:c r="B380" s="24" t="n">
        <x:v>63</x:v>
      </x:c>
    </x:row>
    <x:row r="381">
      <x:c r="A381" s="23" t="str">
        <x:v>Langworth, Boehm and Gulgowski</x:v>
      </x:c>
      <x:c r="B381" s="24" t="n">
        <x:v>63</x:v>
      </x:c>
    </x:row>
    <x:row r="382">
      <x:c r="A382" s="23" t="str">
        <x:v>Morissette LLC</x:v>
      </x:c>
      <x:c r="B382" s="24" t="n">
        <x:v>63</x:v>
      </x:c>
    </x:row>
    <x:row r="383">
      <x:c r="A383" s="23" t="str">
        <x:v>Price Inc</x:v>
      </x:c>
      <x:c r="B383" s="24" t="n">
        <x:v>63</x:v>
      </x:c>
    </x:row>
    <x:row r="384">
      <x:c r="A384" s="23" t="str">
        <x:v>Reichert, Rowe and Mraz</x:v>
      </x:c>
      <x:c r="B384" s="24" t="n">
        <x:v>63</x:v>
      </x:c>
    </x:row>
    <x:row r="385">
      <x:c r="A385" s="23" t="str">
        <x:v>Swaniawski, Lowe and Robel</x:v>
      </x:c>
      <x:c r="B385" s="24" t="n">
        <x:v>63</x:v>
      </x:c>
    </x:row>
    <x:row r="386">
      <x:c r="A386" s="23" t="str">
        <x:v>Terry-Huel</x:v>
      </x:c>
      <x:c r="B386" s="24" t="n">
        <x:v>63</x:v>
      </x:c>
    </x:row>
    <x:row r="387">
      <x:c r="A387" s="23" t="str">
        <x:v>Waelchi Inc</x:v>
      </x:c>
      <x:c r="B387" s="24" t="n">
        <x:v>63</x:v>
      </x:c>
    </x:row>
    <x:row r="388">
      <x:c r="A388" s="23" t="str">
        <x:v>Wilkinson Ltd</x:v>
      </x:c>
      <x:c r="B388" s="24" t="n">
        <x:v>63</x:v>
      </x:c>
    </x:row>
    <x:row r="389">
      <x:c r="A389" s="23" t="str">
        <x:v>Barton LLC</x:v>
      </x:c>
      <x:c r="B389" s="24" t="n">
        <x:v>64</x:v>
      </x:c>
    </x:row>
    <x:row r="390">
      <x:c r="A390" s="23" t="str">
        <x:v>Boehm, Predovic and Reinger</x:v>
      </x:c>
      <x:c r="B390" s="24" t="n">
        <x:v>64</x:v>
      </x:c>
    </x:row>
    <x:row r="391">
      <x:c r="A391" s="23" t="str">
        <x:v>Effertz, Welch and Schowalter</x:v>
      </x:c>
      <x:c r="B391" s="24" t="n">
        <x:v>64</x:v>
      </x:c>
    </x:row>
    <x:row r="392">
      <x:c r="A392" s="23" t="str">
        <x:v>Gerlach Inc</x:v>
      </x:c>
      <x:c r="B392" s="24" t="n">
        <x:v>64</x:v>
      </x:c>
    </x:row>
    <x:row r="393">
      <x:c r="A393" s="23" t="str">
        <x:v>Goyette Inc</x:v>
      </x:c>
      <x:c r="B393" s="24" t="n">
        <x:v>64</x:v>
      </x:c>
    </x:row>
    <x:row r="394">
      <x:c r="A394" s="23" t="str">
        <x:v>Graham, Hegmann and Hammes</x:v>
      </x:c>
      <x:c r="B394" s="24" t="n">
        <x:v>64</x:v>
      </x:c>
    </x:row>
    <x:row r="395">
      <x:c r="A395" s="23" t="str">
        <x:v>Heathcote, Yost and Kertzmann</x:v>
      </x:c>
      <x:c r="B395" s="24" t="n">
        <x:v>64</x:v>
      </x:c>
    </x:row>
    <x:row r="396">
      <x:c r="A396" s="23" t="str">
        <x:v>Kling, Howe and Schneider</x:v>
      </x:c>
      <x:c r="B396" s="24" t="n">
        <x:v>64</x:v>
      </x:c>
    </x:row>
    <x:row r="397">
      <x:c r="A397" s="23" t="str">
        <x:v>Kozey-Kuhlman</x:v>
      </x:c>
      <x:c r="B397" s="24" t="n">
        <x:v>64</x:v>
      </x:c>
    </x:row>
    <x:row r="398">
      <x:c r="A398" s="23" t="str">
        <x:v>Predovic Inc</x:v>
      </x:c>
      <x:c r="B398" s="24" t="n">
        <x:v>64</x:v>
      </x:c>
    </x:row>
    <x:row r="399">
      <x:c r="A399" s="23" t="str">
        <x:v>Romaguera, Cruickshank and Greenholt</x:v>
      </x:c>
      <x:c r="B399" s="24" t="n">
        <x:v>64</x:v>
      </x:c>
    </x:row>
    <x:row r="400">
      <x:c r="A400" s="23" t="str">
        <x:v>Schulist Ltd</x:v>
      </x:c>
      <x:c r="B400" s="24" t="n">
        <x:v>64</x:v>
      </x:c>
    </x:row>
    <x:row r="401">
      <x:c r="A401" s="23" t="str">
        <x:v>Wiza, Schaden and Stark</x:v>
      </x:c>
      <x:c r="B401" s="24" t="n">
        <x:v>64</x:v>
      </x:c>
    </x:row>
    <x:row r="402">
      <x:c r="A402" s="23" t="str">
        <x:v>Wuckert-Goldner</x:v>
      </x:c>
      <x:c r="B402" s="24" t="n">
        <x:v>64</x:v>
      </x:c>
    </x:row>
    <x:row r="403">
      <x:c r="A403" s="23" t="str">
        <x:v>Zemlak, Tillman and Cremin</x:v>
      </x:c>
      <x:c r="B403" s="24" t="n">
        <x:v>64</x:v>
      </x:c>
    </x:row>
    <x:row r="404">
      <x:c r="A404" s="23" t="str">
        <x:v>Abbott-Rogahn</x:v>
      </x:c>
      <x:c r="B404" s="24" t="n">
        <x:v>65</x:v>
      </x:c>
    </x:row>
    <x:row r="405">
      <x:c r="A405" s="23" t="str">
        <x:v>Bechtelar-Rippin</x:v>
      </x:c>
      <x:c r="B405" s="24" t="n">
        <x:v>65</x:v>
      </x:c>
    </x:row>
    <x:row r="406">
      <x:c r="A406" s="23" t="str">
        <x:v>Becker, Harris and Harvey</x:v>
      </x:c>
      <x:c r="B406" s="24" t="n">
        <x:v>65</x:v>
      </x:c>
    </x:row>
    <x:row r="407">
      <x:c r="A407" s="23" t="str">
        <x:v>Conroy, Balistreri and Gorczany</x:v>
      </x:c>
      <x:c r="B407" s="24" t="n">
        <x:v>65</x:v>
      </x:c>
    </x:row>
    <x:row r="408">
      <x:c r="A408" s="23" t="str">
        <x:v>Crooks and Sons</x:v>
      </x:c>
      <x:c r="B408" s="24" t="n">
        <x:v>65</x:v>
      </x:c>
    </x:row>
    <x:row r="409">
      <x:c r="A409" s="23" t="str">
        <x:v>Cummerata-Hilpert</x:v>
      </x:c>
      <x:c r="B409" s="24" t="n">
        <x:v>65</x:v>
      </x:c>
    </x:row>
    <x:row r="410">
      <x:c r="A410" s="23" t="str">
        <x:v>Kassulke PLC</x:v>
      </x:c>
      <x:c r="B410" s="24" t="n">
        <x:v>65</x:v>
      </x:c>
    </x:row>
    <x:row r="411">
      <x:c r="A411" s="23" t="str">
        <x:v>Kuphal-Toy</x:v>
      </x:c>
      <x:c r="B411" s="24" t="n">
        <x:v>65</x:v>
      </x:c>
    </x:row>
    <x:row r="412">
      <x:c r="A412" s="23" t="str">
        <x:v>Ledner, Hartmann and Feest</x:v>
      </x:c>
      <x:c r="B412" s="24" t="n">
        <x:v>65</x:v>
      </x:c>
    </x:row>
    <x:row r="413">
      <x:c r="A413" s="23" t="str">
        <x:v>Miller-Hauck</x:v>
      </x:c>
      <x:c r="B413" s="24" t="n">
        <x:v>65</x:v>
      </x:c>
    </x:row>
    <x:row r="414">
      <x:c r="A414" s="23" t="str">
        <x:v>Nienow PLC</x:v>
      </x:c>
      <x:c r="B414" s="24" t="n">
        <x:v>65</x:v>
      </x:c>
    </x:row>
    <x:row r="415">
      <x:c r="A415" s="23" t="str">
        <x:v>Turcotte, Batz and Buckridge</x:v>
      </x:c>
      <x:c r="B415" s="24" t="n">
        <x:v>65</x:v>
      </x:c>
    </x:row>
    <x:row r="416">
      <x:c r="A416" s="23" t="str">
        <x:v>Abbott-Steuber</x:v>
      </x:c>
      <x:c r="B416" s="24" t="n">
        <x:v>66</x:v>
      </x:c>
    </x:row>
    <x:row r="417">
      <x:c r="A417" s="23" t="str">
        <x:v>Auer LLC</x:v>
      </x:c>
      <x:c r="B417" s="24" t="n">
        <x:v>66</x:v>
      </x:c>
    </x:row>
    <x:row r="418">
      <x:c r="A418" s="23" t="str">
        <x:v>Botsford PLC</x:v>
      </x:c>
      <x:c r="B418" s="24" t="n">
        <x:v>66</x:v>
      </x:c>
    </x:row>
    <x:row r="419">
      <x:c r="A419" s="23" t="str">
        <x:v>Cole, Hills and Jewess</x:v>
      </x:c>
      <x:c r="B419" s="24" t="n">
        <x:v>66</x:v>
      </x:c>
    </x:row>
    <x:row r="420">
      <x:c r="A420" s="23" t="str">
        <x:v>DuBuque LLC</x:v>
      </x:c>
      <x:c r="B420" s="24" t="n">
        <x:v>66</x:v>
      </x:c>
    </x:row>
    <x:row r="421">
      <x:c r="A421" s="23" t="str">
        <x:v>Hammes-Beatty</x:v>
      </x:c>
      <x:c r="B421" s="24" t="n">
        <x:v>66</x:v>
      </x:c>
    </x:row>
    <x:row r="422">
      <x:c r="A422" s="23" t="str">
        <x:v>Kuhic Inc</x:v>
      </x:c>
      <x:c r="B422" s="24" t="n">
        <x:v>66</x:v>
      </x:c>
    </x:row>
    <x:row r="423">
      <x:c r="A423" s="23" t="str">
        <x:v>Kulas Group</x:v>
      </x:c>
      <x:c r="B423" s="24" t="n">
        <x:v>66</x:v>
      </x:c>
    </x:row>
    <x:row r="424">
      <x:c r="A424" s="23" t="str">
        <x:v>Nicolas, Hills and McGlynn</x:v>
      </x:c>
      <x:c r="B424" s="24" t="n">
        <x:v>66</x:v>
      </x:c>
    </x:row>
    <x:row r="425">
      <x:c r="A425" s="23" t="str">
        <x:v>Prosacco LLC</x:v>
      </x:c>
      <x:c r="B425" s="24" t="n">
        <x:v>66</x:v>
      </x:c>
    </x:row>
    <x:row r="426">
      <x:c r="A426" s="23" t="str">
        <x:v>Upton PLC</x:v>
      </x:c>
      <x:c r="B426" s="24" t="n">
        <x:v>66</x:v>
      </x:c>
    </x:row>
    <x:row r="427">
      <x:c r="A427" s="23" t="str">
        <x:v>Zboncak Ltd</x:v>
      </x:c>
      <x:c r="B427" s="24" t="n">
        <x:v>66</x:v>
      </x:c>
    </x:row>
    <x:row r="428">
      <x:c r="A428" s="23" t="str">
        <x:v>Auer-West</x:v>
      </x:c>
      <x:c r="B428" s="24" t="n">
        <x:v>67</x:v>
      </x:c>
    </x:row>
    <x:row r="429">
      <x:c r="A429" s="23" t="str">
        <x:v>Bahringer, Schoen and Corkery</x:v>
      </x:c>
      <x:c r="B429" s="24" t="n">
        <x:v>67</x:v>
      </x:c>
    </x:row>
    <x:row r="430">
      <x:c r="A430" s="23" t="str">
        <x:v>Bogisich-Weimann</x:v>
      </x:c>
      <x:c r="B430" s="24" t="n">
        <x:v>67</x:v>
      </x:c>
    </x:row>
    <x:row r="431">
      <x:c r="A431" s="23" t="str">
        <x:v>Bruen-Yost</x:v>
      </x:c>
      <x:c r="B431" s="24" t="n">
        <x:v>67</x:v>
      </x:c>
    </x:row>
    <x:row r="432">
      <x:c r="A432" s="23" t="str">
        <x:v>Kautzer and Sons</x:v>
      </x:c>
      <x:c r="B432" s="24" t="n">
        <x:v>67</x:v>
      </x:c>
    </x:row>
    <x:row r="433">
      <x:c r="A433" s="23" t="str">
        <x:v>Koss, Hansen and Lueilwitz</x:v>
      </x:c>
      <x:c r="B433" s="24" t="n">
        <x:v>67</x:v>
      </x:c>
    </x:row>
    <x:row r="434">
      <x:c r="A434" s="23" t="str">
        <x:v>Kuhic, Bins and Pfeffer</x:v>
      </x:c>
      <x:c r="B434" s="24" t="n">
        <x:v>67</x:v>
      </x:c>
    </x:row>
    <x:row r="435">
      <x:c r="A435" s="23" t="str">
        <x:v>Lynch-Wisozk</x:v>
      </x:c>
      <x:c r="B435" s="24" t="n">
        <x:v>67</x:v>
      </x:c>
    </x:row>
    <x:row r="436">
      <x:c r="A436" s="23" t="str">
        <x:v>Macejkovic-Lesch</x:v>
      </x:c>
      <x:c r="B436" s="24" t="n">
        <x:v>67</x:v>
      </x:c>
    </x:row>
    <x:row r="437">
      <x:c r="A437" s="23" t="str">
        <x:v>Monahan-Morar</x:v>
      </x:c>
      <x:c r="B437" s="24" t="n">
        <x:v>67</x:v>
      </x:c>
    </x:row>
    <x:row r="438">
      <x:c r="A438" s="23" t="str">
        <x:v>Pfeffer and Sons</x:v>
      </x:c>
      <x:c r="B438" s="24" t="n">
        <x:v>67</x:v>
      </x:c>
    </x:row>
    <x:row r="439">
      <x:c r="A439" s="23" t="str">
        <x:v>Reichert, Shanahan and Hayes</x:v>
      </x:c>
      <x:c r="B439" s="24" t="n">
        <x:v>67</x:v>
      </x:c>
    </x:row>
    <x:row r="440">
      <x:c r="A440" s="23" t="str">
        <x:v>Schmeler, Bashirian and Price</x:v>
      </x:c>
      <x:c r="B440" s="24" t="n">
        <x:v>67</x:v>
      </x:c>
    </x:row>
    <x:row r="441">
      <x:c r="A441" s="23" t="str">
        <x:v>Stamm-Witting</x:v>
      </x:c>
      <x:c r="B441" s="24" t="n">
        <x:v>67</x:v>
      </x:c>
    </x:row>
    <x:row r="442">
      <x:c r="A442" s="23" t="str">
        <x:v>Terry, Johns and Bins</x:v>
      </x:c>
      <x:c r="B442" s="24" t="n">
        <x:v>67</x:v>
      </x:c>
    </x:row>
    <x:row r="443">
      <x:c r="A443" s="23" t="str">
        <x:v>Turner and Sons</x:v>
      </x:c>
      <x:c r="B443" s="24" t="n">
        <x:v>67</x:v>
      </x:c>
    </x:row>
    <x:row r="444">
      <x:c r="A444" s="23" t="str">
        <x:v>Donnelly LLC</x:v>
      </x:c>
      <x:c r="B444" s="24" t="n">
        <x:v>68</x:v>
      </x:c>
    </x:row>
    <x:row r="445">
      <x:c r="A445" s="23" t="str">
        <x:v>Erdman-Kertzmann</x:v>
      </x:c>
      <x:c r="B445" s="24" t="n">
        <x:v>68</x:v>
      </x:c>
    </x:row>
    <x:row r="446">
      <x:c r="A446" s="23" t="str">
        <x:v>Hagenes, Kohler and Hoppe</x:v>
      </x:c>
      <x:c r="B446" s="24" t="n">
        <x:v>68</x:v>
      </x:c>
    </x:row>
    <x:row r="447">
      <x:c r="A447" s="23" t="str">
        <x:v>Hermiston, Russel and Price</x:v>
      </x:c>
      <x:c r="B447" s="24" t="n">
        <x:v>68</x:v>
      </x:c>
    </x:row>
    <x:row r="448">
      <x:c r="A448" s="23" t="str">
        <x:v>Howe PLC</x:v>
      </x:c>
      <x:c r="B448" s="24" t="n">
        <x:v>68</x:v>
      </x:c>
    </x:row>
    <x:row r="449">
      <x:c r="A449" s="23" t="str">
        <x:v>Kiehn Inc</x:v>
      </x:c>
      <x:c r="B449" s="24" t="n">
        <x:v>68</x:v>
      </x:c>
    </x:row>
    <x:row r="450">
      <x:c r="A450" s="23" t="str">
        <x:v>Lang, Towne and Schuppe</x:v>
      </x:c>
      <x:c r="B450" s="24" t="n">
        <x:v>68</x:v>
      </x:c>
    </x:row>
    <x:row r="451">
      <x:c r="A451" s="23" t="str">
        <x:v>Medhurst, Cartwright and Ebert</x:v>
      </x:c>
      <x:c r="B451" s="24" t="n">
        <x:v>68</x:v>
      </x:c>
    </x:row>
    <x:row r="452">
      <x:c r="A452" s="23" t="str">
        <x:v>Okuneva, Schneider and Rau</x:v>
      </x:c>
      <x:c r="B452" s="24" t="n">
        <x:v>68</x:v>
      </x:c>
    </x:row>
    <x:row r="453">
      <x:c r="A453" s="23" t="str">
        <x:v>Schumm, McLaughlin and Carter</x:v>
      </x:c>
      <x:c r="B453" s="24" t="n">
        <x:v>68</x:v>
      </x:c>
    </x:row>
    <x:row r="454">
      <x:c r="A454" s="23" t="str">
        <x:v>Shields-Wunsch</x:v>
      </x:c>
      <x:c r="B454" s="24" t="n">
        <x:v>68</x:v>
      </x:c>
    </x:row>
    <x:row r="455">
      <x:c r="A455" s="23" t="str">
        <x:v>Baumbach, Strosin and Nicolas</x:v>
      </x:c>
      <x:c r="B455" s="24" t="n">
        <x:v>69</x:v>
      </x:c>
    </x:row>
    <x:row r="456">
      <x:c r="A456" s="23" t="str">
        <x:v>Bode-Schuster</x:v>
      </x:c>
      <x:c r="B456" s="24" t="n">
        <x:v>69</x:v>
      </x:c>
    </x:row>
    <x:row r="457">
      <x:c r="A457" s="23" t="str">
        <x:v>Bradtke, Torp and Bahringer</x:v>
      </x:c>
      <x:c r="B457" s="24" t="n">
        <x:v>69</x:v>
      </x:c>
    </x:row>
    <x:row r="458">
      <x:c r="A458" s="23" t="str">
        <x:v>Cartwright-Harris</x:v>
      </x:c>
      <x:c r="B458" s="24" t="n">
        <x:v>69</x:v>
      </x:c>
    </x:row>
    <x:row r="459">
      <x:c r="A459" s="23" t="str">
        <x:v>Heaney-Marquardt</x:v>
      </x:c>
      <x:c r="B459" s="24" t="n">
        <x:v>69</x:v>
      </x:c>
    </x:row>
    <x:row r="460">
      <x:c r="A460" s="23" t="str">
        <x:v>Homenick LLC</x:v>
      </x:c>
      <x:c r="B460" s="24" t="n">
        <x:v>69</x:v>
      </x:c>
    </x:row>
    <x:row r="461">
      <x:c r="A461" s="23" t="str">
        <x:v>McKenzie-Huels</x:v>
      </x:c>
      <x:c r="B461" s="24" t="n">
        <x:v>69</x:v>
      </x:c>
    </x:row>
    <x:row r="462">
      <x:c r="A462" s="23" t="str">
        <x:v>Prosacco, Kreiger and Kovacek</x:v>
      </x:c>
      <x:c r="B462" s="24" t="n">
        <x:v>69</x:v>
      </x:c>
    </x:row>
    <x:row r="463">
      <x:c r="A463" s="23" t="str">
        <x:v>Rempel Inc</x:v>
      </x:c>
      <x:c r="B463" s="24" t="n">
        <x:v>69</x:v>
      </x:c>
    </x:row>
    <x:row r="464">
      <x:c r="A464" s="23" t="str">
        <x:v>Schoen, Nienow and Bauch</x:v>
      </x:c>
      <x:c r="B464" s="24" t="n">
        <x:v>69</x:v>
      </x:c>
    </x:row>
    <x:row r="465">
      <x:c r="A465" s="23" t="str">
        <x:v>Zboncak, Rowe and Murazik</x:v>
      </x:c>
      <x:c r="B465" s="24" t="n">
        <x:v>69</x:v>
      </x:c>
    </x:row>
    <x:row r="466">
      <x:c r="A466" s="23" t="str">
        <x:v>Altenwerth-Kilback</x:v>
      </x:c>
      <x:c r="B466" s="24" t="n">
        <x:v>70</x:v>
      </x:c>
    </x:row>
    <x:row r="467">
      <x:c r="A467" s="23" t="str">
        <x:v>Bartoletti and Sons</x:v>
      </x:c>
      <x:c r="B467" s="24" t="n">
        <x:v>70</x:v>
      </x:c>
    </x:row>
    <x:row r="468">
      <x:c r="A468" s="23" t="str">
        <x:v>Bednar PLC</x:v>
      </x:c>
      <x:c r="B468" s="24" t="n">
        <x:v>70</x:v>
      </x:c>
    </x:row>
    <x:row r="469">
      <x:c r="A469" s="23" t="str">
        <x:v>Bins, Balistreri and Beatty</x:v>
      </x:c>
      <x:c r="B469" s="24" t="n">
        <x:v>70</x:v>
      </x:c>
    </x:row>
    <x:row r="470">
      <x:c r="A470" s="23" t="str">
        <x:v>Breitenberg-Hermiston</x:v>
      </x:c>
      <x:c r="B470" s="24" t="n">
        <x:v>70</x:v>
      </x:c>
    </x:row>
    <x:row r="471">
      <x:c r="A471" s="23" t="str">
        <x:v>Daugherty, Pouros and Beahan</x:v>
      </x:c>
      <x:c r="B471" s="24" t="n">
        <x:v>70</x:v>
      </x:c>
    </x:row>
    <x:row r="472">
      <x:c r="A472" s="23" t="str">
        <x:v>Grimes LLC</x:v>
      </x:c>
      <x:c r="B472" s="24" t="n">
        <x:v>70</x:v>
      </x:c>
    </x:row>
    <x:row r="473">
      <x:c r="A473" s="23" t="str">
        <x:v>Lowe, Dietrich and Erdman</x:v>
      </x:c>
      <x:c r="B473" s="24" t="n">
        <x:v>70</x:v>
      </x:c>
    </x:row>
    <x:row r="474">
      <x:c r="A474" s="23" t="str">
        <x:v>Lynch Ltd</x:v>
      </x:c>
      <x:c r="B474" s="24" t="n">
        <x:v>70</x:v>
      </x:c>
    </x:row>
    <x:row r="475">
      <x:c r="A475" s="23" t="str">
        <x:v>Medhurst Inc</x:v>
      </x:c>
      <x:c r="B475" s="24" t="n">
        <x:v>70</x:v>
      </x:c>
    </x:row>
    <x:row r="476">
      <x:c r="A476" s="23" t="str">
        <x:v>Pacocha-Weissnat</x:v>
      </x:c>
      <x:c r="B476" s="24" t="n">
        <x:v>70</x:v>
      </x:c>
    </x:row>
    <x:row r="477">
      <x:c r="A477" s="23" t="str">
        <x:v>Roberts, Ryan and Smith</x:v>
      </x:c>
      <x:c r="B477" s="24" t="n">
        <x:v>70</x:v>
      </x:c>
    </x:row>
    <x:row r="478">
      <x:c r="A478" s="23" t="str">
        <x:v>Schimmel-Olson</x:v>
      </x:c>
      <x:c r="B478" s="24" t="n">
        <x:v>70</x:v>
      </x:c>
    </x:row>
    <x:row r="479">
      <x:c r="A479" s="23" t="str">
        <x:v>Turcotte-Halvorson</x:v>
      </x:c>
      <x:c r="B479" s="24" t="n">
        <x:v>70</x:v>
      </x:c>
    </x:row>
    <x:row r="480">
      <x:c r="A480" s="23" t="str">
        <x:v>Walter, Hettinger and Kessler</x:v>
      </x:c>
      <x:c r="B480" s="24" t="n">
        <x:v>70</x:v>
      </x:c>
    </x:row>
    <x:row r="481">
      <x:c r="A481" s="23" t="str">
        <x:v>Bashirian Group</x:v>
      </x:c>
      <x:c r="B481" s="24" t="n">
        <x:v>71</x:v>
      </x:c>
    </x:row>
    <x:row r="482">
      <x:c r="A482" s="23" t="str">
        <x:v>Connelly-Carter</x:v>
      </x:c>
      <x:c r="B482" s="24" t="n">
        <x:v>71</x:v>
      </x:c>
    </x:row>
    <x:row r="483">
      <x:c r="A483" s="23" t="str">
        <x:v>Fisher-Schowalter</x:v>
      </x:c>
      <x:c r="B483" s="24" t="n">
        <x:v>71</x:v>
      </x:c>
    </x:row>
    <x:row r="484">
      <x:c r="A484" s="23" t="str">
        <x:v>Gleason-Macejkovic</x:v>
      </x:c>
      <x:c r="B484" s="24" t="n">
        <x:v>71</x:v>
      </x:c>
    </x:row>
    <x:row r="485">
      <x:c r="A485" s="23" t="str">
        <x:v>Goldner, Kovacek and Abbott</x:v>
      </x:c>
      <x:c r="B485" s="24" t="n">
        <x:v>71</x:v>
      </x:c>
    </x:row>
    <x:row r="486">
      <x:c r="A486" s="23" t="str">
        <x:v>Kirlin and Sons</x:v>
      </x:c>
      <x:c r="B486" s="24" t="n">
        <x:v>71</x:v>
      </x:c>
    </x:row>
    <x:row r="487">
      <x:c r="A487" s="23" t="str">
        <x:v>Koepp-Witting</x:v>
      </x:c>
      <x:c r="B487" s="24" t="n">
        <x:v>71</x:v>
      </x:c>
    </x:row>
    <x:row r="488">
      <x:c r="A488" s="23" t="str">
        <x:v>Larkin Ltd</x:v>
      </x:c>
      <x:c r="B488" s="24" t="n">
        <x:v>71</x:v>
      </x:c>
    </x:row>
    <x:row r="489">
      <x:c r="A489" s="23" t="str">
        <x:v>Little, Gutmann and Lynch</x:v>
      </x:c>
      <x:c r="B489" s="24" t="n">
        <x:v>71</x:v>
      </x:c>
    </x:row>
    <x:row r="490">
      <x:c r="A490" s="23" t="str">
        <x:v>Nitzsche, Kessler and Wolff</x:v>
      </x:c>
      <x:c r="B490" s="24" t="n">
        <x:v>71</x:v>
      </x:c>
    </x:row>
    <x:row r="491">
      <x:c r="A491" s="23" t="str">
        <x:v>Romaguera, Wehner and Tromp</x:v>
      </x:c>
      <x:c r="B491" s="24" t="n">
        <x:v>71</x:v>
      </x:c>
    </x:row>
    <x:row r="492">
      <x:c r="A492" s="23" t="str">
        <x:v>Rutherford-Mertz</x:v>
      </x:c>
      <x:c r="B492" s="24" t="n">
        <x:v>71</x:v>
      </x:c>
    </x:row>
    <x:row r="493">
      <x:c r="A493" s="23" t="str">
        <x:v>Schmidt and Sons</x:v>
      </x:c>
      <x:c r="B493" s="24" t="n">
        <x:v>71</x:v>
      </x:c>
    </x:row>
    <x:row r="494">
      <x:c r="A494" s="23" t="str">
        <x:v>Stark-Batz</x:v>
      </x:c>
      <x:c r="B494" s="24" t="n">
        <x:v>71</x:v>
      </x:c>
    </x:row>
    <x:row r="495">
      <x:c r="A495" s="23" t="str">
        <x:v>Streich, Rolfson and Wilderman</x:v>
      </x:c>
      <x:c r="B495" s="24" t="n">
        <x:v>71</x:v>
      </x:c>
    </x:row>
    <x:row r="496">
      <x:c r="A496" s="23" t="str">
        <x:v>Torphy-Goyette</x:v>
      </x:c>
      <x:c r="B496" s="24" t="n">
        <x:v>71</x:v>
      </x:c>
    </x:row>
    <x:row r="497">
      <x:c r="A497" s="23" t="str">
        <x:v>Towne, Greenholt and Koepp</x:v>
      </x:c>
      <x:c r="B497" s="24" t="n">
        <x:v>71</x:v>
      </x:c>
    </x:row>
    <x:row r="498">
      <x:c r="A498" s="23" t="str">
        <x:v>Windler LLC</x:v>
      </x:c>
      <x:c r="B498" s="24" t="n">
        <x:v>71</x:v>
      </x:c>
    </x:row>
    <x:row r="499">
      <x:c r="A499" s="23" t="str">
        <x:v>Beier and Sons</x:v>
      </x:c>
      <x:c r="B499" s="24" t="n">
        <x:v>72</x:v>
      </x:c>
    </x:row>
    <x:row r="500">
      <x:c r="A500" s="23" t="str">
        <x:v>Boyer-Reichert</x:v>
      </x:c>
      <x:c r="B500" s="24" t="n">
        <x:v>72</x:v>
      </x:c>
    </x:row>
    <x:row r="501">
      <x:c r="A501" s="23" t="str">
        <x:v>Cartwright PLC</x:v>
      </x:c>
      <x:c r="B501" s="24" t="n">
        <x:v>72</x:v>
      </x:c>
    </x:row>
    <x:row r="502">
      <x:c r="A502" s="23" t="str">
        <x:v>Deckow-O'Conner</x:v>
      </x:c>
      <x:c r="B502" s="24" t="n">
        <x:v>72</x:v>
      </x:c>
    </x:row>
    <x:row r="503">
      <x:c r="A503" s="23" t="str">
        <x:v>Dibbert and Sons</x:v>
      </x:c>
      <x:c r="B503" s="24" t="n">
        <x:v>72</x:v>
      </x:c>
    </x:row>
    <x:row r="504">
      <x:c r="A504" s="23" t="str">
        <x:v>Fahey Inc</x:v>
      </x:c>
      <x:c r="B504" s="24" t="n">
        <x:v>72</x:v>
      </x:c>
    </x:row>
    <x:row r="505">
      <x:c r="A505" s="23" t="str">
        <x:v>Friesen Inc</x:v>
      </x:c>
      <x:c r="B505" s="24" t="n">
        <x:v>72</x:v>
      </x:c>
    </x:row>
    <x:row r="506">
      <x:c r="A506" s="23" t="str">
        <x:v>Kihn Inc</x:v>
      </x:c>
      <x:c r="B506" s="24" t="n">
        <x:v>72</x:v>
      </x:c>
    </x:row>
    <x:row r="507">
      <x:c r="A507" s="23" t="str">
        <x:v>Little Ltd</x:v>
      </x:c>
      <x:c r="B507" s="24" t="n">
        <x:v>72</x:v>
      </x:c>
    </x:row>
    <x:row r="508">
      <x:c r="A508" s="23" t="str">
        <x:v>Morissette-Schaefer</x:v>
      </x:c>
      <x:c r="B508" s="24" t="n">
        <x:v>72</x:v>
      </x:c>
    </x:row>
    <x:row r="509">
      <x:c r="A509" s="23" t="str">
        <x:v>Nienow, Barrows and Romaguera</x:v>
      </x:c>
      <x:c r="B509" s="24" t="n">
        <x:v>72</x:v>
      </x:c>
    </x:row>
    <x:row r="510">
      <x:c r="A510" s="23" t="str">
        <x:v>Stracke-Lemke</x:v>
      </x:c>
      <x:c r="B510" s="24" t="n">
        <x:v>72</x:v>
      </x:c>
    </x:row>
    <x:row r="511">
      <x:c r="A511" s="23" t="str">
        <x:v>Ullrich Ltd</x:v>
      </x:c>
      <x:c r="B511" s="24" t="n">
        <x:v>72</x:v>
      </x:c>
    </x:row>
    <x:row r="512">
      <x:c r="A512" s="23" t="str">
        <x:v>Altenwerth, Cartwright and Koss</x:v>
      </x:c>
      <x:c r="B512" s="24" t="n">
        <x:v>73</x:v>
      </x:c>
    </x:row>
    <x:row r="513">
      <x:c r="A513" s="23" t="str">
        <x:v>Auer-Mosciski</x:v>
      </x:c>
      <x:c r="B513" s="24" t="n">
        <x:v>73</x:v>
      </x:c>
    </x:row>
    <x:row r="514">
      <x:c r="A514" s="23" t="str">
        <x:v>Bradtke PLC</x:v>
      </x:c>
      <x:c r="B514" s="24" t="n">
        <x:v>73</x:v>
      </x:c>
    </x:row>
    <x:row r="515">
      <x:c r="A515" s="23" t="str">
        <x:v>Kutch-Ferry</x:v>
      </x:c>
      <x:c r="B515" s="24" t="n">
        <x:v>73</x:v>
      </x:c>
    </x:row>
    <x:row r="516">
      <x:c r="A516" s="23" t="str">
        <x:v>Parker, Nolan and Trantow</x:v>
      </x:c>
      <x:c r="B516" s="24" t="n">
        <x:v>73</x:v>
      </x:c>
    </x:row>
    <x:row r="517">
      <x:c r="A517" s="23" t="str">
        <x:v>Robel, Cummerata and Prosacco</x:v>
      </x:c>
      <x:c r="B517" s="24" t="n">
        <x:v>73</x:v>
      </x:c>
    </x:row>
    <x:row r="518">
      <x:c r="A518" s="23" t="str">
        <x:v>Schaefer Ltd</x:v>
      </x:c>
      <x:c r="B518" s="24" t="n">
        <x:v>73</x:v>
      </x:c>
    </x:row>
    <x:row r="519">
      <x:c r="A519" s="23" t="str">
        <x:v>Schoen Ltd</x:v>
      </x:c>
      <x:c r="B519" s="24" t="n">
        <x:v>73</x:v>
      </x:c>
    </x:row>
    <x:row r="520">
      <x:c r="A520" s="23" t="str">
        <x:v>Streich Ltd</x:v>
      </x:c>
      <x:c r="B520" s="24" t="n">
        <x:v>73</x:v>
      </x:c>
    </x:row>
    <x:row r="521">
      <x:c r="A521" s="23" t="str">
        <x:v>Witting, Beer and Ernser</x:v>
      </x:c>
      <x:c r="B521" s="24" t="n">
        <x:v>73</x:v>
      </x:c>
    </x:row>
    <x:row r="522">
      <x:c r="A522" s="23" t="str">
        <x:v>Yost, Schamberger and Windler</x:v>
      </x:c>
      <x:c r="B522" s="24" t="n">
        <x:v>73</x:v>
      </x:c>
    </x:row>
    <x:row r="523">
      <x:c r="A523" s="23" t="str">
        <x:v>Goyette, Howell and Collier</x:v>
      </x:c>
      <x:c r="B523" s="24" t="n">
        <x:v>74</x:v>
      </x:c>
    </x:row>
    <x:row r="524">
      <x:c r="A524" s="23" t="str">
        <x:v>Kihn, Abernathy and Douglas</x:v>
      </x:c>
      <x:c r="B524" s="24" t="n">
        <x:v>74</x:v>
      </x:c>
    </x:row>
    <x:row r="525">
      <x:c r="A525" s="23" t="str">
        <x:v>McDermott-Weimann</x:v>
      </x:c>
      <x:c r="B525" s="24" t="n">
        <x:v>74</x:v>
      </x:c>
    </x:row>
    <x:row r="526">
      <x:c r="A526" s="23" t="str">
        <x:v>Padberg-Welch</x:v>
      </x:c>
      <x:c r="B526" s="24" t="n">
        <x:v>74</x:v>
      </x:c>
    </x:row>
    <x:row r="527">
      <x:c r="A527" s="23" t="str">
        <x:v>Schumm, Bauch and Ondricka</x:v>
      </x:c>
      <x:c r="B527" s="24" t="n">
        <x:v>74</x:v>
      </x:c>
    </x:row>
    <x:row r="528">
      <x:c r="A528" s="23" t="str">
        <x:v>White and Sons</x:v>
      </x:c>
      <x:c r="B528" s="24" t="n">
        <x:v>74</x:v>
      </x:c>
    </x:row>
    <x:row r="529">
      <x:c r="A529" s="23" t="str">
        <x:v>Bernhard, Grant and Langworth</x:v>
      </x:c>
      <x:c r="B529" s="24" t="n">
        <x:v>75</x:v>
      </x:c>
    </x:row>
    <x:row r="530">
      <x:c r="A530" s="23" t="str">
        <x:v>Carroll PLC</x:v>
      </x:c>
      <x:c r="B530" s="24" t="n">
        <x:v>75</x:v>
      </x:c>
    </x:row>
    <x:row r="531">
      <x:c r="A531" s="23" t="str">
        <x:v>Crona and Sons</x:v>
      </x:c>
      <x:c r="B531" s="24" t="n">
        <x:v>75</x:v>
      </x:c>
    </x:row>
    <x:row r="532">
      <x:c r="A532" s="23" t="str">
        <x:v>Gislason Group</x:v>
      </x:c>
      <x:c r="B532" s="24" t="n">
        <x:v>75</x:v>
      </x:c>
    </x:row>
    <x:row r="533">
      <x:c r="A533" s="23" t="str">
        <x:v>Hills-Witting</x:v>
      </x:c>
      <x:c r="B533" s="24" t="n">
        <x:v>75</x:v>
      </x:c>
    </x:row>
    <x:row r="534">
      <x:c r="A534" s="23" t="str">
        <x:v>Jakubowski Inc</x:v>
      </x:c>
      <x:c r="B534" s="24" t="n">
        <x:v>75</x:v>
      </x:c>
    </x:row>
    <x:row r="535">
      <x:c r="A535" s="23" t="str">
        <x:v>Kling-Ernser</x:v>
      </x:c>
      <x:c r="B535" s="24" t="n">
        <x:v>75</x:v>
      </x:c>
    </x:row>
    <x:row r="536">
      <x:c r="A536" s="23" t="str">
        <x:v>Lemke-Gutmann</x:v>
      </x:c>
      <x:c r="B536" s="24" t="n">
        <x:v>75</x:v>
      </x:c>
    </x:row>
    <x:row r="537">
      <x:c r="A537" s="23" t="str">
        <x:v>Lesch Ltd</x:v>
      </x:c>
      <x:c r="B537" s="24" t="n">
        <x:v>75</x:v>
      </x:c>
    </x:row>
    <x:row r="538">
      <x:c r="A538" s="23" t="str">
        <x:v>Luettgen PLC</x:v>
      </x:c>
      <x:c r="B538" s="24" t="n">
        <x:v>75</x:v>
      </x:c>
    </x:row>
    <x:row r="539">
      <x:c r="A539" s="23" t="str">
        <x:v>Moore, Williamson and Emmerich</x:v>
      </x:c>
      <x:c r="B539" s="24" t="n">
        <x:v>75</x:v>
      </x:c>
    </x:row>
    <x:row r="540">
      <x:c r="A540" s="23" t="str">
        <x:v>Murray-Smitham</x:v>
      </x:c>
      <x:c r="B540" s="24" t="n">
        <x:v>75</x:v>
      </x:c>
    </x:row>
    <x:row r="541">
      <x:c r="A541" s="23" t="str">
        <x:v>Pollich LLC</x:v>
      </x:c>
      <x:c r="B541" s="24" t="n">
        <x:v>75</x:v>
      </x:c>
    </x:row>
    <x:row r="542">
      <x:c r="A542" s="23" t="str">
        <x:v>Pouros-Conroy</x:v>
      </x:c>
      <x:c r="B542" s="24" t="n">
        <x:v>75</x:v>
      </x:c>
    </x:row>
    <x:row r="543">
      <x:c r="A543" s="23" t="str">
        <x:v>Roberts, Daniel and Macejkovic</x:v>
      </x:c>
      <x:c r="B543" s="24" t="n">
        <x:v>75</x:v>
      </x:c>
    </x:row>
    <x:row r="544">
      <x:c r="A544" s="23" t="str">
        <x:v>Watsica, Haag and Considine</x:v>
      </x:c>
      <x:c r="B544" s="24" t="n">
        <x:v>75</x:v>
      </x:c>
    </x:row>
    <x:row r="545">
      <x:c r="A545" s="23" t="str">
        <x:v>Zieme, Bode and Dooley</x:v>
      </x:c>
      <x:c r="B545" s="24" t="n">
        <x:v>75</x:v>
      </x:c>
    </x:row>
    <x:row r="546">
      <x:c r="A546" s="23" t="str">
        <x:v>Beier-Hyatt</x:v>
      </x:c>
      <x:c r="B546" s="24" t="n">
        <x:v>76</x:v>
      </x:c>
    </x:row>
    <x:row r="547">
      <x:c r="A547" s="23" t="str">
        <x:v>Conroy Ltd</x:v>
      </x:c>
      <x:c r="B547" s="24" t="n">
        <x:v>76</x:v>
      </x:c>
    </x:row>
    <x:row r="548">
      <x:c r="A548" s="23" t="str">
        <x:v>Fisher Inc</x:v>
      </x:c>
      <x:c r="B548" s="24" t="n">
        <x:v>76</x:v>
      </x:c>
    </x:row>
    <x:row r="549">
      <x:c r="A549" s="23" t="str">
        <x:v>Gibson-Deckow</x:v>
      </x:c>
      <x:c r="B549" s="24" t="n">
        <x:v>76</x:v>
      </x:c>
    </x:row>
    <x:row r="550">
      <x:c r="A550" s="23" t="str">
        <x:v>Koepp-Parker</x:v>
      </x:c>
      <x:c r="B550" s="24" t="n">
        <x:v>76</x:v>
      </x:c>
    </x:row>
    <x:row r="551">
      <x:c r="A551" s="23" t="str">
        <x:v>Pouros, Walker and Spencer</x:v>
      </x:c>
      <x:c r="B551" s="24" t="n">
        <x:v>76</x:v>
      </x:c>
    </x:row>
    <x:row r="552">
      <x:c r="A552" s="23" t="str">
        <x:v>Powlowski-Weimann</x:v>
      </x:c>
      <x:c r="B552" s="24" t="n">
        <x:v>76</x:v>
      </x:c>
    </x:row>
    <x:row r="553">
      <x:c r="A553" s="23" t="str">
        <x:v>Torp-Labadie</x:v>
      </x:c>
      <x:c r="B553" s="24" t="n">
        <x:v>76</x:v>
      </x:c>
    </x:row>
    <x:row r="554">
      <x:c r="A554" s="23" t="str">
        <x:v>Barton Inc</x:v>
      </x:c>
      <x:c r="B554" s="24" t="n">
        <x:v>77</x:v>
      </x:c>
    </x:row>
    <x:row r="555">
      <x:c r="A555" s="23" t="str">
        <x:v>Dooley Inc</x:v>
      </x:c>
      <x:c r="B555" s="24" t="n">
        <x:v>77</x:v>
      </x:c>
    </x:row>
    <x:row r="556">
      <x:c r="A556" s="23" t="str">
        <x:v>Heidenreich PLC</x:v>
      </x:c>
      <x:c r="B556" s="24" t="n">
        <x:v>77</x:v>
      </x:c>
    </x:row>
    <x:row r="557">
      <x:c r="A557" s="23" t="str">
        <x:v>Hudson-Grady</x:v>
      </x:c>
      <x:c r="B557" s="24" t="n">
        <x:v>77</x:v>
      </x:c>
    </x:row>
    <x:row r="558">
      <x:c r="A558" s="23" t="str">
        <x:v>Kuhic LLC</x:v>
      </x:c>
      <x:c r="B558" s="24" t="n">
        <x:v>77</x:v>
      </x:c>
    </x:row>
    <x:row r="559">
      <x:c r="A559" s="23" t="str">
        <x:v>Lockman Ltd</x:v>
      </x:c>
      <x:c r="B559" s="24" t="n">
        <x:v>77</x:v>
      </x:c>
    </x:row>
    <x:row r="560">
      <x:c r="A560" s="23" t="str">
        <x:v>Rau and Sons</x:v>
      </x:c>
      <x:c r="B560" s="24" t="n">
        <x:v>77</x:v>
      </x:c>
    </x:row>
    <x:row r="561">
      <x:c r="A561" s="23" t="str">
        <x:v>Rau-Robel</x:v>
      </x:c>
      <x:c r="B561" s="24" t="n">
        <x:v>77</x:v>
      </x:c>
    </x:row>
    <x:row r="562">
      <x:c r="A562" s="23" t="str">
        <x:v>Roob, Conn and Tremblay</x:v>
      </x:c>
      <x:c r="B562" s="24" t="n">
        <x:v>77</x:v>
      </x:c>
    </x:row>
    <x:row r="563">
      <x:c r="A563" s="23" t="str">
        <x:v>Skiles LLC</x:v>
      </x:c>
      <x:c r="B563" s="24" t="n">
        <x:v>77</x:v>
      </x:c>
    </x:row>
    <x:row r="564">
      <x:c r="A564" s="23" t="str">
        <x:v>Stoltenberg-Beatty</x:v>
      </x:c>
      <x:c r="B564" s="24" t="n">
        <x:v>77</x:v>
      </x:c>
    </x:row>
    <x:row r="565">
      <x:c r="A565" s="23" t="str">
        <x:v>Berge LLC</x:v>
      </x:c>
      <x:c r="B565" s="24" t="n">
        <x:v>78</x:v>
      </x:c>
    </x:row>
    <x:row r="566">
      <x:c r="A566" s="23" t="str">
        <x:v>Douglas, Schneider and Turner</x:v>
      </x:c>
      <x:c r="B566" s="24" t="n">
        <x:v>78</x:v>
      </x:c>
    </x:row>
    <x:row r="567">
      <x:c r="A567" s="23" t="str">
        <x:v>Durgan, Gislason and Spencer</x:v>
      </x:c>
      <x:c r="B567" s="24" t="n">
        <x:v>78</x:v>
      </x:c>
    </x:row>
    <x:row r="568">
      <x:c r="A568" s="23" t="str">
        <x:v>Gulgowski LLC</x:v>
      </x:c>
      <x:c r="B568" s="24" t="n">
        <x:v>78</x:v>
      </x:c>
    </x:row>
    <x:row r="569">
      <x:c r="A569" s="23" t="str">
        <x:v>Hermann and Sons</x:v>
      </x:c>
      <x:c r="B569" s="24" t="n">
        <x:v>78</x:v>
      </x:c>
    </x:row>
    <x:row r="570">
      <x:c r="A570" s="23" t="str">
        <x:v>Kiehn-Emmerich</x:v>
      </x:c>
      <x:c r="B570" s="24" t="n">
        <x:v>78</x:v>
      </x:c>
    </x:row>
    <x:row r="571">
      <x:c r="A571" s="23" t="str">
        <x:v>O'Connell, Botsford and Hand</x:v>
      </x:c>
      <x:c r="B571" s="24" t="n">
        <x:v>78</x:v>
      </x:c>
    </x:row>
    <x:row r="572">
      <x:c r="A572" s="23" t="str">
        <x:v>Ruecker-Mayert</x:v>
      </x:c>
      <x:c r="B572" s="24" t="n">
        <x:v>78</x:v>
      </x:c>
    </x:row>
    <x:row r="573">
      <x:c r="A573" s="23" t="str">
        <x:v>Schaefer, Fay and Hilll</x:v>
      </x:c>
      <x:c r="B573" s="24" t="n">
        <x:v>78</x:v>
      </x:c>
    </x:row>
    <x:row r="574">
      <x:c r="A574" s="23" t="str">
        <x:v>Schiller Ltd</x:v>
      </x:c>
      <x:c r="B574" s="24" t="n">
        <x:v>78</x:v>
      </x:c>
    </x:row>
    <x:row r="575">
      <x:c r="A575" s="23" t="str">
        <x:v>Weber, Thiel and Hammes</x:v>
      </x:c>
      <x:c r="B575" s="24" t="n">
        <x:v>78</x:v>
      </x:c>
    </x:row>
    <x:row r="576">
      <x:c r="A576" s="23" t="str">
        <x:v>Weimann, Kuhic and Beahan</x:v>
      </x:c>
      <x:c r="B576" s="24" t="n">
        <x:v>78</x:v>
      </x:c>
    </x:row>
    <x:row r="577">
      <x:c r="A577" s="23" t="str">
        <x:v>Windler, Goodwin and Kovacek</x:v>
      </x:c>
      <x:c r="B577" s="24" t="n">
        <x:v>78</x:v>
      </x:c>
    </x:row>
    <x:row r="578">
      <x:c r="A578" s="23" t="str">
        <x:v>Wolf Inc</x:v>
      </x:c>
      <x:c r="B578" s="24" t="n">
        <x:v>78</x:v>
      </x:c>
    </x:row>
    <x:row r="579">
      <x:c r="A579" s="23" t="str">
        <x:v>Wuckert, Wintheiser and Friesen</x:v>
      </x:c>
      <x:c r="B579" s="24" t="n">
        <x:v>78</x:v>
      </x:c>
    </x:row>
    <x:row r="580">
      <x:c r="A580" s="23" t="str">
        <x:v>Cole PLC</x:v>
      </x:c>
      <x:c r="B580" s="24" t="n">
        <x:v>79</x:v>
      </x:c>
    </x:row>
    <x:row r="581">
      <x:c r="A581" s="23" t="str">
        <x:v>Crist, Jakubowski and Littel</x:v>
      </x:c>
      <x:c r="B581" s="24" t="n">
        <x:v>79</x:v>
      </x:c>
    </x:row>
    <x:row r="582">
      <x:c r="A582" s="23" t="str">
        <x:v>Gleason and Sons</x:v>
      </x:c>
      <x:c r="B582" s="24" t="n">
        <x:v>79</x:v>
      </x:c>
    </x:row>
    <x:row r="583">
      <x:c r="A583" s="23" t="str">
        <x:v>Jacobi and Sons</x:v>
      </x:c>
      <x:c r="B583" s="24" t="n">
        <x:v>79</x:v>
      </x:c>
    </x:row>
    <x:row r="584">
      <x:c r="A584" s="23" t="str">
        <x:v>Jewess LLC</x:v>
      </x:c>
      <x:c r="B584" s="24" t="n">
        <x:v>79</x:v>
      </x:c>
    </x:row>
    <x:row r="585">
      <x:c r="A585" s="23" t="str">
        <x:v>Kutch and Sons</x:v>
      </x:c>
      <x:c r="B585" s="24" t="n">
        <x:v>79</x:v>
      </x:c>
    </x:row>
    <x:row r="586">
      <x:c r="A586" s="23" t="str">
        <x:v>Lockman, West and Runte</x:v>
      </x:c>
      <x:c r="B586" s="24" t="n">
        <x:v>79</x:v>
      </x:c>
    </x:row>
    <x:row r="587">
      <x:c r="A587" s="23" t="str">
        <x:v>Mayert Group</x:v>
      </x:c>
      <x:c r="B587" s="24" t="n">
        <x:v>79</x:v>
      </x:c>
    </x:row>
    <x:row r="588">
      <x:c r="A588" s="23" t="str">
        <x:v>Nolan-Williamson</x:v>
      </x:c>
      <x:c r="B588" s="24" t="n">
        <x:v>79</x:v>
      </x:c>
    </x:row>
    <x:row r="589">
      <x:c r="A589" s="23" t="str">
        <x:v>Ruecker, Beer and Collier</x:v>
      </x:c>
      <x:c r="B589" s="24" t="n">
        <x:v>79</x:v>
      </x:c>
    </x:row>
    <x:row r="590">
      <x:c r="A590" s="23" t="str">
        <x:v>Schaefer, Maggio and Daugherty</x:v>
      </x:c>
      <x:c r="B590" s="24" t="n">
        <x:v>79</x:v>
      </x:c>
    </x:row>
    <x:row r="591">
      <x:c r="A591" s="23" t="str">
        <x:v>Waelchi-Wolf</x:v>
      </x:c>
      <x:c r="B591" s="24" t="n">
        <x:v>79</x:v>
      </x:c>
    </x:row>
    <x:row r="592">
      <x:c r="A592" s="23" t="str">
        <x:v>Bernier and Sons</x:v>
      </x:c>
      <x:c r="B592" s="24" t="n">
        <x:v>80</x:v>
      </x:c>
    </x:row>
    <x:row r="593">
      <x:c r="A593" s="23" t="str">
        <x:v>Cummings LLC</x:v>
      </x:c>
      <x:c r="B593" s="24" t="n">
        <x:v>80</x:v>
      </x:c>
    </x:row>
    <x:row r="594">
      <x:c r="A594" s="23" t="str">
        <x:v>Ledner-Pfannerstill</x:v>
      </x:c>
      <x:c r="B594" s="24" t="n">
        <x:v>80</x:v>
      </x:c>
    </x:row>
    <x:row r="595">
      <x:c r="A595" s="23" t="str">
        <x:v>Reilly LLC</x:v>
      </x:c>
      <x:c r="B595" s="24" t="n">
        <x:v>80</x:v>
      </x:c>
    </x:row>
    <x:row r="596">
      <x:c r="A596" s="23" t="str">
        <x:v>Schaefer, McGlynn and Bosco</x:v>
      </x:c>
      <x:c r="B596" s="24" t="n">
        <x:v>80</x:v>
      </x:c>
    </x:row>
    <x:row r="597">
      <x:c r="A597" s="23" t="str">
        <x:v>Weimann-Lockman</x:v>
      </x:c>
      <x:c r="B597" s="24" t="n">
        <x:v>80</x:v>
      </x:c>
    </x:row>
    <x:row r="598">
      <x:c r="A598" s="23" t="str">
        <x:v>Beer-Jast</x:v>
      </x:c>
      <x:c r="B598" s="24" t="n">
        <x:v>81</x:v>
      </x:c>
    </x:row>
    <x:row r="599">
      <x:c r="A599" s="23" t="str">
        <x:v>Bode-Rempel</x:v>
      </x:c>
      <x:c r="B599" s="24" t="n">
        <x:v>81</x:v>
      </x:c>
    </x:row>
    <x:row r="600">
      <x:c r="A600" s="23" t="str">
        <x:v>Casper, Hand and Zulauf</x:v>
      </x:c>
      <x:c r="B600" s="24" t="n">
        <x:v>81</x:v>
      </x:c>
    </x:row>
    <x:row r="601">
      <x:c r="A601" s="23" t="str">
        <x:v>Gaylord-Powlowski</x:v>
      </x:c>
      <x:c r="B601" s="24" t="n">
        <x:v>81</x:v>
      </x:c>
    </x:row>
    <x:row r="602">
      <x:c r="A602" s="23" t="str">
        <x:v>Gerhold LLC</x:v>
      </x:c>
      <x:c r="B602" s="24" t="n">
        <x:v>81</x:v>
      </x:c>
    </x:row>
    <x:row r="603">
      <x:c r="A603" s="23" t="str">
        <x:v>Jast-McDermott</x:v>
      </x:c>
      <x:c r="B603" s="24" t="n">
        <x:v>81</x:v>
      </x:c>
    </x:row>
    <x:row r="604">
      <x:c r="A604" s="23" t="str">
        <x:v>Kunze Inc</x:v>
      </x:c>
      <x:c r="B604" s="24" t="n">
        <x:v>81</x:v>
      </x:c>
    </x:row>
    <x:row r="605">
      <x:c r="A605" s="23" t="str">
        <x:v>Kutch LLC</x:v>
      </x:c>
      <x:c r="B605" s="24" t="n">
        <x:v>81</x:v>
      </x:c>
    </x:row>
    <x:row r="606">
      <x:c r="A606" s="23" t="str">
        <x:v>Padberg-Sauer</x:v>
      </x:c>
      <x:c r="B606" s="24" t="n">
        <x:v>81</x:v>
      </x:c>
    </x:row>
    <x:row r="607">
      <x:c r="A607" s="23" t="str">
        <x:v>Stark-Koss</x:v>
      </x:c>
      <x:c r="B607" s="24" t="n">
        <x:v>81</x:v>
      </x:c>
    </x:row>
    <x:row r="608">
      <x:c r="A608" s="23" t="str">
        <x:v>Vandervort-Funk</x:v>
      </x:c>
      <x:c r="B608" s="24" t="n">
        <x:v>81</x:v>
      </x:c>
    </x:row>
    <x:row r="609">
      <x:c r="A609" s="23" t="str">
        <x:v>Bauch-Raynor</x:v>
      </x:c>
      <x:c r="B609" s="24" t="n">
        <x:v>82</x:v>
      </x:c>
    </x:row>
    <x:row r="610">
      <x:c r="A610" s="23" t="str">
        <x:v>Collier LLC</x:v>
      </x:c>
      <x:c r="B610" s="24" t="n">
        <x:v>82</x:v>
      </x:c>
    </x:row>
    <x:row r="611">
      <x:c r="A611" s="23" t="str">
        <x:v>Cummerata-Jones</x:v>
      </x:c>
      <x:c r="B611" s="24" t="n">
        <x:v>82</x:v>
      </x:c>
    </x:row>
    <x:row r="612">
      <x:c r="A612" s="23" t="str">
        <x:v>Friesen-D'Amore</x:v>
      </x:c>
      <x:c r="B612" s="24" t="n">
        <x:v>82</x:v>
      </x:c>
    </x:row>
    <x:row r="613">
      <x:c r="A613" s="23" t="str">
        <x:v>Hudson-Ratke</x:v>
      </x:c>
      <x:c r="B613" s="24" t="n">
        <x:v>82</x:v>
      </x:c>
    </x:row>
    <x:row r="614">
      <x:c r="A614" s="23" t="str">
        <x:v>Huels-Nolan</x:v>
      </x:c>
      <x:c r="B614" s="24" t="n">
        <x:v>82</x:v>
      </x:c>
    </x:row>
    <x:row r="615">
      <x:c r="A615" s="23" t="str">
        <x:v>Kris-Padberg</x:v>
      </x:c>
      <x:c r="B615" s="24" t="n">
        <x:v>82</x:v>
      </x:c>
    </x:row>
    <x:row r="616">
      <x:c r="A616" s="23" t="str">
        <x:v>Parisian and Sons</x:v>
      </x:c>
      <x:c r="B616" s="24" t="n">
        <x:v>82</x:v>
      </x:c>
    </x:row>
    <x:row r="617">
      <x:c r="A617" s="23" t="str">
        <x:v>Bernhard Inc</x:v>
      </x:c>
      <x:c r="B617" s="24" t="n">
        <x:v>83</x:v>
      </x:c>
    </x:row>
    <x:row r="618">
      <x:c r="A618" s="23" t="str">
        <x:v>Botsford and Sons</x:v>
      </x:c>
      <x:c r="B618" s="24" t="n">
        <x:v>83</x:v>
      </x:c>
    </x:row>
    <x:row r="619">
      <x:c r="A619" s="23" t="str">
        <x:v>Botsford Ltd</x:v>
      </x:c>
      <x:c r="B619" s="24" t="n">
        <x:v>83</x:v>
      </x:c>
    </x:row>
    <x:row r="620">
      <x:c r="A620" s="23" t="str">
        <x:v>Champlin-Casper</x:v>
      </x:c>
      <x:c r="B620" s="24" t="n">
        <x:v>83</x:v>
      </x:c>
    </x:row>
    <x:row r="621">
      <x:c r="A621" s="23" t="str">
        <x:v>Friesen-Stamm</x:v>
      </x:c>
      <x:c r="B621" s="24" t="n">
        <x:v>83</x:v>
      </x:c>
    </x:row>
    <x:row r="622">
      <x:c r="A622" s="23" t="str">
        <x:v>Gutmann, McLaughlin and Wiza</x:v>
      </x:c>
      <x:c r="B622" s="24" t="n">
        <x:v>83</x:v>
      </x:c>
    </x:row>
    <x:row r="623">
      <x:c r="A623" s="23" t="str">
        <x:v>Heller-Langosh</x:v>
      </x:c>
      <x:c r="B623" s="24" t="n">
        <x:v>83</x:v>
      </x:c>
    </x:row>
    <x:row r="624">
      <x:c r="A624" s="23" t="str">
        <x:v>Rowe, Batz and Goodwin</x:v>
      </x:c>
      <x:c r="B624" s="24" t="n">
        <x:v>83</x:v>
      </x:c>
    </x:row>
    <x:row r="625">
      <x:c r="A625" s="23" t="str">
        <x:v>Schamberger-O'Keefe</x:v>
      </x:c>
      <x:c r="B625" s="24" t="n">
        <x:v>83</x:v>
      </x:c>
    </x:row>
    <x:row r="626">
      <x:c r="A626" s="23" t="str">
        <x:v>Strosin-Cruickshank</x:v>
      </x:c>
      <x:c r="B626" s="24" t="n">
        <x:v>83</x:v>
      </x:c>
    </x:row>
    <x:row r="627">
      <x:c r="A627" s="23" t="str">
        <x:v>Swift PLC</x:v>
      </x:c>
      <x:c r="B627" s="24" t="n">
        <x:v>83</x:v>
      </x:c>
    </x:row>
    <x:row r="628">
      <x:c r="A628" s="23" t="str">
        <x:v>Bahringer, Bergnaum and Quitzon</x:v>
      </x:c>
      <x:c r="B628" s="24" t="n">
        <x:v>84</x:v>
      </x:c>
    </x:row>
    <x:row r="629">
      <x:c r="A629" s="23" t="str">
        <x:v>Conroy-Cruickshank</x:v>
      </x:c>
      <x:c r="B629" s="24" t="n">
        <x:v>84</x:v>
      </x:c>
    </x:row>
    <x:row r="630">
      <x:c r="A630" s="23" t="str">
        <x:v>Goodwin-Nitzsche</x:v>
      </x:c>
      <x:c r="B630" s="24" t="n">
        <x:v>84</x:v>
      </x:c>
    </x:row>
    <x:row r="631">
      <x:c r="A631" s="23" t="str">
        <x:v>Gottlieb Group</x:v>
      </x:c>
      <x:c r="B631" s="24" t="n">
        <x:v>84</x:v>
      </x:c>
    </x:row>
    <x:row r="632">
      <x:c r="A632" s="23" t="str">
        <x:v>Kutch-Wilderman</x:v>
      </x:c>
      <x:c r="B632" s="24" t="n">
        <x:v>84</x:v>
      </x:c>
    </x:row>
    <x:row r="633">
      <x:c r="A633" s="23" t="str">
        <x:v>Lubowitz-Walter</x:v>
      </x:c>
      <x:c r="B633" s="24" t="n">
        <x:v>84</x:v>
      </x:c>
    </x:row>
    <x:row r="634">
      <x:c r="A634" s="23" t="str">
        <x:v>Marks Inc</x:v>
      </x:c>
      <x:c r="B634" s="24" t="n">
        <x:v>84</x:v>
      </x:c>
    </x:row>
    <x:row r="635">
      <x:c r="A635" s="23" t="str">
        <x:v>Mosciski, Gislason and Mertz</x:v>
      </x:c>
      <x:c r="B635" s="24" t="n">
        <x:v>84</x:v>
      </x:c>
    </x:row>
    <x:row r="636">
      <x:c r="A636" s="23" t="str">
        <x:v>Baumbach, Hodkiewicz and Walsh</x:v>
      </x:c>
      <x:c r="B636" s="24" t="n">
        <x:v>85</x:v>
      </x:c>
    </x:row>
    <x:row r="637">
      <x:c r="A637" s="23" t="str">
        <x:v>Bogisich Inc</x:v>
      </x:c>
      <x:c r="B637" s="24" t="n">
        <x:v>85</x:v>
      </x:c>
    </x:row>
    <x:row r="638">
      <x:c r="A638" s="23" t="str">
        <x:v>Eichmann, Bogan and Rodriguez</x:v>
      </x:c>
      <x:c r="B638" s="24" t="n">
        <x:v>85</x:v>
      </x:c>
    </x:row>
    <x:row r="639">
      <x:c r="A639" s="23" t="str">
        <x:v>Jenkins, Hauck and Friesen</x:v>
      </x:c>
      <x:c r="B639" s="24" t="n">
        <x:v>85</x:v>
      </x:c>
    </x:row>
    <x:row r="640">
      <x:c r="A640" s="23" t="str">
        <x:v>O'Connell-Ullrich</x:v>
      </x:c>
      <x:c r="B640" s="24" t="n">
        <x:v>85</x:v>
      </x:c>
    </x:row>
    <x:row r="641">
      <x:c r="A641" s="23" t="str">
        <x:v>Raynor, Feest and Miller</x:v>
      </x:c>
      <x:c r="B641" s="24" t="n">
        <x:v>85</x:v>
      </x:c>
    </x:row>
    <x:row r="642">
      <x:c r="A642" s="23" t="str">
        <x:v>Sawayn PLC</x:v>
      </x:c>
      <x:c r="B642" s="24" t="n">
        <x:v>85</x:v>
      </x:c>
    </x:row>
    <x:row r="643">
      <x:c r="A643" s="23" t="str">
        <x:v>Schmitt Inc</x:v>
      </x:c>
      <x:c r="B643" s="24" t="n">
        <x:v>85</x:v>
      </x:c>
    </x:row>
    <x:row r="644">
      <x:c r="A644" s="23" t="str">
        <x:v>Schultz, Simonis and Little</x:v>
      </x:c>
      <x:c r="B644" s="24" t="n">
        <x:v>85</x:v>
      </x:c>
    </x:row>
    <x:row r="645">
      <x:c r="A645" s="23" t="str">
        <x:v>Bailey-Morar</x:v>
      </x:c>
      <x:c r="B645" s="24" t="n">
        <x:v>86</x:v>
      </x:c>
    </x:row>
    <x:row r="646">
      <x:c r="A646" s="23" t="str">
        <x:v>Champlin and Sons</x:v>
      </x:c>
      <x:c r="B646" s="24" t="n">
        <x:v>86</x:v>
      </x:c>
    </x:row>
    <x:row r="647">
      <x:c r="A647" s="23" t="str">
        <x:v>Huel, Hammes and Witting</x:v>
      </x:c>
      <x:c r="B647" s="24" t="n">
        <x:v>86</x:v>
      </x:c>
    </x:row>
    <x:row r="648">
      <x:c r="A648" s="23" t="str">
        <x:v>Bartoletti-Wunsch</x:v>
      </x:c>
      <x:c r="B648" s="24" t="n">
        <x:v>87</x:v>
      </x:c>
    </x:row>
    <x:row r="649">
      <x:c r="A649" s="23" t="str">
        <x:v>Connelly, Reichert and Fritsch</x:v>
      </x:c>
      <x:c r="B649" s="24" t="n">
        <x:v>87</x:v>
      </x:c>
    </x:row>
    <x:row r="650">
      <x:c r="A650" s="23" t="str">
        <x:v>Heller, Gutmann and Zieme</x:v>
      </x:c>
      <x:c r="B650" s="24" t="n">
        <x:v>87</x:v>
      </x:c>
    </x:row>
    <x:row r="651">
      <x:c r="A651" s="23" t="str">
        <x:v>Schoen, Kuphal and Nitzsche</x:v>
      </x:c>
      <x:c r="B651" s="24" t="n">
        <x:v>87</x:v>
      </x:c>
    </x:row>
    <x:row r="652">
      <x:c r="A652" s="23" t="str">
        <x:v>Tillman, Dickinson and Labadie</x:v>
      </x:c>
      <x:c r="B652" s="24" t="n">
        <x:v>87</x:v>
      </x:c>
    </x:row>
    <x:row r="653">
      <x:c r="A653" s="23" t="str">
        <x:v>Corwin-Collins</x:v>
      </x:c>
      <x:c r="B653" s="24" t="n">
        <x:v>88</x:v>
      </x:c>
    </x:row>
    <x:row r="654">
      <x:c r="A654" s="23" t="str">
        <x:v>Doyle Ltd</x:v>
      </x:c>
      <x:c r="B654" s="24" t="n">
        <x:v>88</x:v>
      </x:c>
    </x:row>
    <x:row r="655">
      <x:c r="A655" s="23" t="str">
        <x:v>Hickle Group</x:v>
      </x:c>
      <x:c r="B655" s="24" t="n">
        <x:v>88</x:v>
      </x:c>
    </x:row>
    <x:row r="656">
      <x:c r="A656" s="23" t="str">
        <x:v>Metz, Russel and Metz</x:v>
      </x:c>
      <x:c r="B656" s="24" t="n">
        <x:v>88</x:v>
      </x:c>
    </x:row>
    <x:row r="657">
      <x:c r="A657" s="23" t="str">
        <x:v>Pacocha-Bauch</x:v>
      </x:c>
      <x:c r="B657" s="24" t="n">
        <x:v>88</x:v>
      </x:c>
    </x:row>
    <x:row r="658">
      <x:c r="A658" s="23" t="str">
        <x:v>Pacocha-O'Reilly</x:v>
      </x:c>
      <x:c r="B658" s="24" t="n">
        <x:v>88</x:v>
      </x:c>
    </x:row>
    <x:row r="659">
      <x:c r="A659" s="23" t="str">
        <x:v>Pouros-Haag</x:v>
      </x:c>
      <x:c r="B659" s="24" t="n">
        <x:v>88</x:v>
      </x:c>
    </x:row>
    <x:row r="660">
      <x:c r="A660" s="23" t="str">
        <x:v>Renner Ltd</x:v>
      </x:c>
      <x:c r="B660" s="24" t="n">
        <x:v>88</x:v>
      </x:c>
    </x:row>
    <x:row r="661">
      <x:c r="A661" s="23" t="str">
        <x:v>Hettinger, McCullough and Fay</x:v>
      </x:c>
      <x:c r="B661" s="24" t="n">
        <x:v>89</x:v>
      </x:c>
    </x:row>
    <x:row r="662">
      <x:c r="A662" s="23" t="str">
        <x:v>Olson, Becker and Koch</x:v>
      </x:c>
      <x:c r="B662" s="24" t="n">
        <x:v>89</x:v>
      </x:c>
    </x:row>
    <x:row r="663">
      <x:c r="A663" s="23" t="str">
        <x:v>Raynor, Reinger and Hagenes</x:v>
      </x:c>
      <x:c r="B663" s="24" t="n">
        <x:v>89</x:v>
      </x:c>
    </x:row>
    <x:row r="664">
      <x:c r="A664" s="23" t="str">
        <x:v>Rodriguez Group</x:v>
      </x:c>
      <x:c r="B664" s="24" t="n">
        <x:v>90</x:v>
      </x:c>
    </x:row>
    <x:row r="665">
      <x:c r="A665" s="23" t="str">
        <x:v>Schuppe, Nolan and Hoeger</x:v>
      </x:c>
      <x:c r="B665" s="24" t="n">
        <x:v>90</x:v>
      </x:c>
    </x:row>
    <x:row r="666">
      <x:c r="A666" s="23" t="str">
        <x:v>Haley, Jewess and Bechtelar</x:v>
      </x:c>
      <x:c r="B666" s="24" t="n">
        <x:v>91</x:v>
      </x:c>
    </x:row>
    <x:row r="667">
      <x:c r="A667" s="23" t="str">
        <x:v>Harris Inc</x:v>
      </x:c>
      <x:c r="B667" s="24" t="n">
        <x:v>91</x:v>
      </x:c>
    </x:row>
    <x:row r="668">
      <x:c r="A668" s="23" t="str">
        <x:v>Kutch, Hermiston and Farrell</x:v>
      </x:c>
      <x:c r="B668" s="24" t="n">
        <x:v>91</x:v>
      </x:c>
    </x:row>
    <x:row r="669">
      <x:c r="A669" s="23" t="str">
        <x:v>Lind, Huel and McClure</x:v>
      </x:c>
      <x:c r="B669" s="24" t="n">
        <x:v>91</x:v>
      </x:c>
    </x:row>
    <x:row r="670">
      <x:c r="A670" s="23" t="str">
        <x:v>Morissette PLC</x:v>
      </x:c>
      <x:c r="B670" s="24" t="n">
        <x:v>91</x:v>
      </x:c>
    </x:row>
    <x:row r="671">
      <x:c r="A671" s="23" t="str">
        <x:v>Prohaska-Murray</x:v>
      </x:c>
      <x:c r="B671" s="24" t="n">
        <x:v>91</x:v>
      </x:c>
    </x:row>
    <x:row r="672">
      <x:c r="A672" s="23" t="str">
        <x:v>Streich, Hansen and Veum</x:v>
      </x:c>
      <x:c r="B672" s="24" t="n">
        <x:v>91</x:v>
      </x:c>
    </x:row>
    <x:row r="673">
      <x:c r="A673" s="23" t="str">
        <x:v>Denesik and Sons</x:v>
      </x:c>
      <x:c r="B673" s="24" t="n">
        <x:v>92</x:v>
      </x:c>
    </x:row>
    <x:row r="674">
      <x:c r="A674" s="23" t="str">
        <x:v>Harber Inc</x:v>
      </x:c>
      <x:c r="B674" s="24" t="n">
        <x:v>92</x:v>
      </x:c>
    </x:row>
    <x:row r="675">
      <x:c r="A675" s="23" t="str">
        <x:v>Huels-Hahn</x:v>
      </x:c>
      <x:c r="B675" s="24" t="n">
        <x:v>92</x:v>
      </x:c>
    </x:row>
    <x:row r="676">
      <x:c r="A676" s="23" t="str">
        <x:v>Pagac LLC</x:v>
      </x:c>
      <x:c r="B676" s="24" t="n">
        <x:v>92</x:v>
      </x:c>
    </x:row>
    <x:row r="677">
      <x:c r="A677" s="23" t="str">
        <x:v>Schiller, Blanda and Johnson</x:v>
      </x:c>
      <x:c r="B677" s="24" t="n">
        <x:v>92</x:v>
      </x:c>
    </x:row>
    <x:row r="678">
      <x:c r="A678" s="23" t="str">
        <x:v>Bins-Rice</x:v>
      </x:c>
      <x:c r="B678" s="24" t="n">
        <x:v>93</x:v>
      </x:c>
    </x:row>
    <x:row r="679">
      <x:c r="A679" s="23" t="str">
        <x:v>Ernser-Feest</x:v>
      </x:c>
      <x:c r="B679" s="24" t="n">
        <x:v>93</x:v>
      </x:c>
    </x:row>
    <x:row r="680">
      <x:c r="A680" s="23" t="str">
        <x:v>Kuvalis Ltd</x:v>
      </x:c>
      <x:c r="B680" s="24" t="n">
        <x:v>93</x:v>
      </x:c>
    </x:row>
    <x:row r="681">
      <x:c r="A681" s="23" t="str">
        <x:v>Rau-Grant</x:v>
      </x:c>
      <x:c r="B681" s="24" t="n">
        <x:v>93</x:v>
      </x:c>
    </x:row>
    <x:row r="682">
      <x:c r="A682" s="23" t="str">
        <x:v>Denesik, Powlowski and Pouros</x:v>
      </x:c>
      <x:c r="B682" s="24" t="n">
        <x:v>94</x:v>
      </x:c>
    </x:row>
    <x:row r="683">
      <x:c r="A683" s="23" t="str">
        <x:v>Emard Inc</x:v>
      </x:c>
      <x:c r="B683" s="24" t="n">
        <x:v>94</x:v>
      </x:c>
    </x:row>
    <x:row r="684">
      <x:c r="A684" s="23" t="str">
        <x:v>Schmidt-Larkin</x:v>
      </x:c>
      <x:c r="B684" s="24" t="n">
        <x:v>94</x:v>
      </x:c>
    </x:row>
    <x:row r="685">
      <x:c r="A685" s="23" t="str">
        <x:v>Hilpert-Conroy</x:v>
      </x:c>
      <x:c r="B685" s="24" t="n">
        <x:v>95</x:v>
      </x:c>
    </x:row>
    <x:row r="686">
      <x:c r="A686" s="23" t="str">
        <x:v>McDermott, Osinski and Morar</x:v>
      </x:c>
      <x:c r="B686" s="24" t="n">
        <x:v>95</x:v>
      </x:c>
    </x:row>
    <x:row r="687">
      <x:c r="A687" s="23" t="str">
        <x:v>Boyer PLC</x:v>
      </x:c>
      <x:c r="B687" s="24" t="n">
        <x:v>96</x:v>
      </x:c>
    </x:row>
    <x:row r="688">
      <x:c r="A688" s="23" t="str">
        <x:v>Osinski, Ledner and Leuschke</x:v>
      </x:c>
      <x:c r="B688" s="24" t="n">
        <x:v>96</x:v>
      </x:c>
    </x:row>
    <x:row r="689">
      <x:c r="A689" s="23" t="str">
        <x:v>Terry Ltd</x:v>
      </x:c>
      <x:c r="B689" s="24" t="n">
        <x:v>96</x:v>
      </x:c>
    </x:row>
    <x:row r="690">
      <x:c r="A690" s="23" t="str">
        <x:v>Koss and Sons</x:v>
      </x:c>
      <x:c r="B690" s="24" t="n">
        <x:v>97</x:v>
      </x:c>
    </x:row>
    <x:row r="691">
      <x:c r="A691" s="23" t="str">
        <x:v>Quitzon-Goyette</x:v>
      </x:c>
      <x:c r="B691" s="24" t="n">
        <x:v>97</x:v>
      </x:c>
    </x:row>
    <x:row r="692">
      <x:c r="A692" s="23" t="str">
        <x:v>Kling Inc</x:v>
      </x:c>
      <x:c r="B692" s="24" t="n">
        <x:v>98</x:v>
      </x:c>
    </x:row>
    <x:row r="693">
      <x:c r="A693" s="23" t="str">
        <x:v>Kovacek, Dibbert and Ondricka</x:v>
      </x:c>
      <x:c r="B693" s="24" t="n">
        <x:v>98</x:v>
      </x:c>
    </x:row>
    <x:row r="694">
      <x:c r="A694" s="23" t="str">
        <x:v>Brekke and Sons</x:v>
      </x:c>
      <x:c r="B694" s="24" t="n">
        <x:v>99</x:v>
      </x:c>
    </x:row>
    <x:row r="695">
      <x:c r="A695" s="23" t="str">
        <x:v>Eichmann-Kilback</x:v>
      </x:c>
      <x:c r="B695" s="24" t="n">
        <x:v>99</x:v>
      </x:c>
    </x:row>
    <x:row r="696">
      <x:c r="A696" s="23" t="str">
        <x:v>Willms, Kris and Bergnaum</x:v>
      </x:c>
      <x:c r="B696" s="24" t="n">
        <x:v>99</x:v>
      </x:c>
    </x:row>
    <x:row r="697">
      <x:c r="A697" s="23" t="str">
        <x:v>Greenholt, Jacobi and Gleason</x:v>
      </x:c>
      <x:c r="B697" s="24" t="n">
        <x:v>100</x:v>
      </x:c>
    </x:row>
    <x:row r="698">
      <x:c r="A698" s="23" t="str">
        <x:v>O'Reilly, Mohr and Purdy</x:v>
      </x:c>
      <x:c r="B698" s="24" t="n">
        <x:v>100</x:v>
      </x:c>
    </x:row>
    <x:row r="699">
      <x:c r="A699" s="23" t="str">
        <x:v>Dickinson Ltd</x:v>
      </x:c>
      <x:c r="B699" s="24" t="n">
        <x:v>101</x:v>
      </x:c>
    </x:row>
    <x:row r="700">
      <x:c r="A700" s="23" t="str">
        <x:v>Stroman, Hudson and Erdman</x:v>
      </x:c>
      <x:c r="B700" s="24" t="n">
        <x:v>101</x:v>
      </x:c>
    </x:row>
    <x:row r="701">
      <x:c r="A701" s="23" t="str">
        <x:v>Christiansen, Goyette and Schamberger</x:v>
      </x:c>
      <x:c r="B701" s="24" t="n">
        <x:v>107</x:v>
      </x:c>
    </x:row>
    <x:row r="702">
      <x:c r="A702" s="23" t="str">
        <x:v>Hackett-Lueilwitz</x:v>
      </x:c>
      <x:c r="B702" s="24" t="n">
        <x:v>107</x:v>
      </x:c>
    </x:row>
    <x:row r="703">
      <x:c r="A703" s="23" t="str">
        <x:v>Schumm PLC</x:v>
      </x:c>
      <x:c r="B703" s="24" t="n">
        <x:v>110</x:v>
      </x:c>
    </x:row>
    <x:row r="704">
      <x:c r="A704" s="23" t="str">
        <x:v>Kuhn LLC</x:v>
      </x:c>
      <x:c r="B704" s="24" t="n">
        <x:v>113</x:v>
      </x:c>
    </x:row>
    <x:row r="705">
      <x:c r="A705" s="23" t="str">
        <x:v>Reilly, Heaney and Cole</x:v>
      </x:c>
      <x:c r="B705" s="24" t="n">
        <x:v>113</x:v>
      </x:c>
    </x:row>
    <x:row r="706">
      <x:c r="A706" s="23" t="str">
        <x:v>Mraz-Herzog</x:v>
      </x:c>
      <x:c r="B706" s="24" t="n">
        <x:v>114</x:v>
      </x:c>
    </x:row>
    <x:row r="707">
      <x:c r="A707" s="23" t="str">
        <x:v>Cormier LLC</x:v>
      </x:c>
      <x:c r="B707" s="24" t="n">
        <x:v>124</x:v>
      </x:c>
    </x:row>
    <x:row r="708">
      <x:c r="A708" s="23" t="str">
        <x:v>Kilback LLC</x:v>
      </x:c>
      <x:c r="B708" s="24" t="n">
        <x:v>158</x:v>
      </x:c>
    </x:row>
  </x:sheetData>
  <x:mergeCells>
    <x:mergeCell ref="A1:H1"/>
    <x:mergeCell ref="A3:D3"/>
    <x:mergeCell ref="D5:H5"/>
    <x:mergeCell ref="D6:H12"/>
  </x:mergeCells>
  <x:pageMargins left="0.7" right="0.7" top="0.75" bottom="0.75" header="0.3" footer="0.3"/>
  <x:legacyDrawing xmlns:r="http://schemas.openxmlformats.org/officeDocument/2006/relationships" r:id="R997f3030695e4343"/>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8" hidden="0" customWidth="1"/>
    <x:col min="4" max="4" width="23" hidden="0" customWidth="1"/>
    <x:col min="5" max="5" width="21" hidden="0" customWidth="1"/>
    <x:col min="6" max="6" width="15" hidden="0" customWidth="1"/>
    <x:col min="7" max="7" width="23" hidden="0" customWidth="1"/>
    <x:col min="8" max="8" width="20" hidden="0" customWidth="1"/>
    <x:col min="9" max="9" width="20" hidden="0" customWidth="1"/>
  </x:cols>
  <x:sheetData>
    <x:row r="1" ht="30" customHeight="1">
      <x:c r="A1" s="3" t="str">
        <x:v>Merchant Matrix</x:v>
      </x:c>
      <x:c r="B1" s="3"/>
      <x:c r="C1" s="3"/>
      <x:c r="D1" s="3"/>
      <x:c r="E1" s="3"/>
      <x:c r="F1" s="3"/>
      <x:c r="G1" s="3"/>
      <x:c r="H1" s="3"/>
    </x:row>
    <x:row r="3">
      <x:c r="A3" s="28" t="str">
        <x:v>Minimum volume</x:v>
      </x:c>
      <x:c r="B3" s="18" t="n">
        <x:f>'Merchant Median Check'!B7</x:f>
        <x:v>50</x:v>
      </x:c>
      <x:c r="D3"/>
      <x:c r="E3"/>
      <x:c r="F3"/>
      <x:c r="G3"/>
      <x:c r="H3"/>
    </x:row>
    <x:row r="4">
      <x:c r="A4" s="28" t="str">
        <x:v>Overall fraud rate</x:v>
      </x:c>
      <x:c r="B4" s="19" t="n">
        <x:f>'KPI Calculations'!E8</x:f>
        <x:v>0.004254514512621726</x:v>
      </x:c>
      <x:c r="D4"/>
      <x:c r="E4"/>
      <x:c r="F4"/>
      <x:c r="G4"/>
      <x:c r="H4"/>
      <x:c r="I4"/>
    </x:row>
    <x:row r="5">
      <x:c r="A5" s="28" t="str">
        <x:v>Eligible median volume</x:v>
      </x:c>
      <x:c r="B5" s="18" t="n">
        <x:f>'Merchant Median Check'!B12</x:f>
        <x:v>68</x:v>
      </x:c>
      <x:c r="D5"/>
      <x:c r="E5"/>
      <x:c r="F5"/>
      <x:c r="G5"/>
      <x:c r="H5"/>
      <x:c r="I5"/>
    </x:row>
    <x:row r="6">
      <x:c r="A6" s="28" t="str">
        <x:v>Eligible merchants</x:v>
      </x:c>
      <x:c r="B6" s="18" t="n">
        <x:f>COUNTA(A12:A527)</x:f>
        <x:v>516</x:v>
      </x:c>
      <x:c r="D6"/>
      <x:c r="E6"/>
      <x:c r="F6"/>
      <x:c r="G6"/>
      <x:c r="H6"/>
      <x:c r="I6"/>
    </x:row>
    <x:row r="7">
      <x:c r="A7" s="28" t="str">
        <x:v>Strict top-right count</x:v>
      </x:c>
      <x:c r="B7" s="18" t="n">
        <x:f>COUNTIFS(B12:B527,"&gt;"&amp;B5,F12:F527,"&gt;"&amp;B4)</x:f>
        <x:v>79</x:v>
      </x:c>
      <x:c r="D7"/>
      <x:c r="E7"/>
      <x:c r="F7"/>
      <x:c r="G7"/>
      <x:c r="H7"/>
      <x:c r="I7"/>
    </x:row>
    <x:row r="8">
      <x:c r="A8" s="28" t="str">
        <x:v>At/above-median count</x:v>
      </x:c>
      <x:c r="B8" s="18" t="n">
        <x:f>COUNTIFS(B12:B527,"&gt;="&amp;B5,F12:F527,"&gt;"&amp;B4)</x:f>
        <x:v>80</x:v>
      </x:c>
      <x:c r="D8"/>
      <x:c r="E8"/>
      <x:c r="F8"/>
      <x:c r="G8"/>
      <x:c r="H8"/>
      <x:c r="I8"/>
    </x:row>
    <x:row r="9">
      <x:c r="A9" s="28"/>
      <x:c r="B9"/>
      <x:c r="D9" s="30"/>
      <x:c r="E9" s="30"/>
      <x:c r="F9" s="30"/>
      <x:c r="G9" s="30"/>
      <x:c r="H9" s="30"/>
    </x:row>
    <x:row r="11" ht="28" customHeight="1">
      <x:c r="A11" s="15" t="str">
        <x:v>Merchant</x:v>
      </x:c>
      <x:c r="B11" s="16" t="str">
        <x:v>Total transactions</x:v>
      </x:c>
      <x:c r="C11" s="16" t="str">
        <x:v>Fraud transactions</x:v>
      </x:c>
      <x:c r="D11" s="16" t="str">
        <x:v>Fraud-labelled amount</x:v>
      </x:c>
      <x:c r="E11" s="16" t="str">
        <x:v>Legitimate transactions</x:v>
      </x:c>
      <x:c r="F11" s="16" t="str">
        <x:v>Fraud rate</x:v>
      </x:c>
      <x:c r="G11" s="16" t="str">
        <x:v>Above eligible median?</x:v>
      </x:c>
      <x:c r="H11" s="16" t="str">
        <x:v>Above overall rate?</x:v>
      </x:c>
      <x:c r="I11" s="17" t="str">
        <x:v>Top-right priority?</x:v>
      </x:c>
    </x:row>
    <x:row r="12">
      <x:c r="A12" s="21" t="str">
        <x:v>Brown, Homenick and Lesch</x:v>
      </x:c>
      <x:c r="B12" s="22" t="n">
        <x:v>50</x:v>
      </x:c>
      <x:c r="C12" s="22" t="n">
        <x:v>0</x:v>
      </x:c>
      <x:c r="D12" s="47" t="n">
        <x:v>0</x:v>
      </x:c>
      <x:c r="E12" s="22" t="n">
        <x:f>B12-C12</x:f>
        <x:v>50</x:v>
      </x:c>
      <x:c r="F12" s="46" t="n">
        <x:f>C12/B12</x:f>
        <x:v>0</x:v>
      </x:c>
      <x:c r="G12" s="21" t="str">
        <x:f>IF(B12&gt;$B$5,"Yes","No")</x:f>
        <x:v>No</x:v>
      </x:c>
      <x:c r="H12" s="21" t="str">
        <x:f>IF(F12&gt;$B$4,"Yes","No")</x:f>
        <x:v>No</x:v>
      </x:c>
      <x:c r="I12" s="21" t="str">
        <x:f>IF(AND(G12="Yes",H12="Yes"),"Top-right","Other")</x:f>
        <x:v>Other</x:v>
      </x:c>
    </x:row>
    <x:row r="13">
      <x:c r="A13" s="23" t="str">
        <x:v>Herman Inc</x:v>
      </x:c>
      <x:c r="B13" s="24" t="n">
        <x:v>50</x:v>
      </x:c>
      <x:c r="C13" s="24" t="n">
        <x:v>0</x:v>
      </x:c>
      <x:c r="D13" s="26" t="n">
        <x:v>0</x:v>
      </x:c>
      <x:c r="E13" s="24" t="n">
        <x:f>B13-C13</x:f>
        <x:v>50</x:v>
      </x:c>
      <x:c r="F13" s="25" t="n">
        <x:f>C13/B13</x:f>
        <x:v>0</x:v>
      </x:c>
      <x:c r="G13" s="23" t="str">
        <x:f>IF(B13&gt;$B$5,"Yes","No")</x:f>
        <x:v>No</x:v>
      </x:c>
      <x:c r="H13" s="23" t="str">
        <x:f>IF(F13&gt;$B$4,"Yes","No")</x:f>
        <x:v>No</x:v>
      </x:c>
      <x:c r="I13" s="23" t="str">
        <x:f>IF(AND(G13="Yes",H13="Yes"),"Top-right","Other")</x:f>
        <x:v>Other</x:v>
      </x:c>
    </x:row>
    <x:row r="14">
      <x:c r="A14" s="23" t="str">
        <x:v>Rippin-VonRueden</x:v>
      </x:c>
      <x:c r="B14" s="24" t="n">
        <x:v>50</x:v>
      </x:c>
      <x:c r="C14" s="24" t="n">
        <x:v>1</x:v>
      </x:c>
      <x:c r="D14" s="26" t="n">
        <x:v>19.17</x:v>
      </x:c>
      <x:c r="E14" s="24" t="n">
        <x:f>B14-C14</x:f>
        <x:v>49</x:v>
      </x:c>
      <x:c r="F14" s="25" t="n">
        <x:f>C14/B14</x:f>
        <x:v>0.02</x:v>
      </x:c>
      <x:c r="G14" s="23" t="str">
        <x:f>IF(B14&gt;$B$5,"Yes","No")</x:f>
        <x:v>No</x:v>
      </x:c>
      <x:c r="H14" s="23" t="str">
        <x:f>IF(F14&gt;$B$4,"Yes","No")</x:f>
        <x:v>Yes</x:v>
      </x:c>
      <x:c r="I14" s="23" t="str">
        <x:f>IF(AND(G14="Yes",H14="Yes"),"Top-right","Other")</x:f>
        <x:v>Other</x:v>
      </x:c>
    </x:row>
    <x:row r="15">
      <x:c r="A15" s="23" t="str">
        <x:v>Roob-Okuneva</x:v>
      </x:c>
      <x:c r="B15" s="24" t="n">
        <x:v>50</x:v>
      </x:c>
      <x:c r="C15" s="24" t="n">
        <x:v>0</x:v>
      </x:c>
      <x:c r="D15" s="26" t="n">
        <x:v>0</x:v>
      </x:c>
      <x:c r="E15" s="24" t="n">
        <x:f>B15-C15</x:f>
        <x:v>50</x:v>
      </x:c>
      <x:c r="F15" s="25" t="n">
        <x:f>C15/B15</x:f>
        <x:v>0</x:v>
      </x:c>
      <x:c r="G15" s="23" t="str">
        <x:f>IF(B15&gt;$B$5,"Yes","No")</x:f>
        <x:v>No</x:v>
      </x:c>
      <x:c r="H15" s="23" t="str">
        <x:f>IF(F15&gt;$B$4,"Yes","No")</x:f>
        <x:v>No</x:v>
      </x:c>
      <x:c r="I15" s="23" t="str">
        <x:f>IF(AND(G15="Yes",H15="Yes"),"Top-right","Other")</x:f>
        <x:v>Other</x:v>
      </x:c>
    </x:row>
    <x:row r="16">
      <x:c r="A16" s="23" t="str">
        <x:v>Stiedemann Ltd</x:v>
      </x:c>
      <x:c r="B16" s="24" t="n">
        <x:v>50</x:v>
      </x:c>
      <x:c r="C16" s="24" t="n">
        <x:v>0</x:v>
      </x:c>
      <x:c r="D16" s="26" t="n">
        <x:v>0</x:v>
      </x:c>
      <x:c r="E16" s="24" t="n">
        <x:f>B16-C16</x:f>
        <x:v>50</x:v>
      </x:c>
      <x:c r="F16" s="25" t="n">
        <x:f>C16/B16</x:f>
        <x:v>0</x:v>
      </x:c>
      <x:c r="G16" s="23" t="str">
        <x:f>IF(B16&gt;$B$5,"Yes","No")</x:f>
        <x:v>No</x:v>
      </x:c>
      <x:c r="H16" s="23" t="str">
        <x:f>IF(F16&gt;$B$4,"Yes","No")</x:f>
        <x:v>No</x:v>
      </x:c>
      <x:c r="I16" s="23" t="str">
        <x:f>IF(AND(G16="Yes",H16="Yes"),"Top-right","Other")</x:f>
        <x:v>Other</x:v>
      </x:c>
    </x:row>
    <x:row r="17">
      <x:c r="A17" s="23" t="str">
        <x:v>Thiel-Thiel</x:v>
      </x:c>
      <x:c r="B17" s="24" t="n">
        <x:v>50</x:v>
      </x:c>
      <x:c r="C17" s="24" t="n">
        <x:v>0</x:v>
      </x:c>
      <x:c r="D17" s="26" t="n">
        <x:v>0</x:v>
      </x:c>
      <x:c r="E17" s="24" t="n">
        <x:f>B17-C17</x:f>
        <x:v>50</x:v>
      </x:c>
      <x:c r="F17" s="25" t="n">
        <x:f>C17/B17</x:f>
        <x:v>0</x:v>
      </x:c>
      <x:c r="G17" s="23" t="str">
        <x:f>IF(B17&gt;$B$5,"Yes","No")</x:f>
        <x:v>No</x:v>
      </x:c>
      <x:c r="H17" s="23" t="str">
        <x:f>IF(F17&gt;$B$4,"Yes","No")</x:f>
        <x:v>No</x:v>
      </x:c>
      <x:c r="I17" s="23" t="str">
        <x:f>IF(AND(G17="Yes",H17="Yes"),"Top-right","Other")</x:f>
        <x:v>Other</x:v>
      </x:c>
    </x:row>
    <x:row r="18">
      <x:c r="A18" s="23" t="str">
        <x:v>Torphy-Kertzmann</x:v>
      </x:c>
      <x:c r="B18" s="24" t="n">
        <x:v>50</x:v>
      </x:c>
      <x:c r="C18" s="24" t="n">
        <x:v>0</x:v>
      </x:c>
      <x:c r="D18" s="26" t="n">
        <x:v>0</x:v>
      </x:c>
      <x:c r="E18" s="24" t="n">
        <x:f>B18-C18</x:f>
        <x:v>50</x:v>
      </x:c>
      <x:c r="F18" s="25" t="n">
        <x:f>C18/B18</x:f>
        <x:v>0</x:v>
      </x:c>
      <x:c r="G18" s="23" t="str">
        <x:f>IF(B18&gt;$B$5,"Yes","No")</x:f>
        <x:v>No</x:v>
      </x:c>
      <x:c r="H18" s="23" t="str">
        <x:f>IF(F18&gt;$B$4,"Yes","No")</x:f>
        <x:v>No</x:v>
      </x:c>
      <x:c r="I18" s="23" t="str">
        <x:f>IF(AND(G18="Yes",H18="Yes"),"Top-right","Other")</x:f>
        <x:v>Other</x:v>
      </x:c>
    </x:row>
    <x:row r="19">
      <x:c r="A19" s="23" t="str">
        <x:v>Welch Inc</x:v>
      </x:c>
      <x:c r="B19" s="24" t="n">
        <x:v>50</x:v>
      </x:c>
      <x:c r="C19" s="24" t="n">
        <x:v>0</x:v>
      </x:c>
      <x:c r="D19" s="26" t="n">
        <x:v>0</x:v>
      </x:c>
      <x:c r="E19" s="24" t="n">
        <x:f>B19-C19</x:f>
        <x:v>50</x:v>
      </x:c>
      <x:c r="F19" s="25" t="n">
        <x:f>C19/B19</x:f>
        <x:v>0</x:v>
      </x:c>
      <x:c r="G19" s="23" t="str">
        <x:f>IF(B19&gt;$B$5,"Yes","No")</x:f>
        <x:v>No</x:v>
      </x:c>
      <x:c r="H19" s="23" t="str">
        <x:f>IF(F19&gt;$B$4,"Yes","No")</x:f>
        <x:v>No</x:v>
      </x:c>
      <x:c r="I19" s="23" t="str">
        <x:f>IF(AND(G19="Yes",H19="Yes"),"Top-right","Other")</x:f>
        <x:v>Other</x:v>
      </x:c>
    </x:row>
    <x:row r="20">
      <x:c r="A20" s="23" t="str">
        <x:v>Williamson LLC</x:v>
      </x:c>
      <x:c r="B20" s="24" t="n">
        <x:v>50</x:v>
      </x:c>
      <x:c r="C20" s="24" t="n">
        <x:v>0</x:v>
      </x:c>
      <x:c r="D20" s="26" t="n">
        <x:v>0</x:v>
      </x:c>
      <x:c r="E20" s="24" t="n">
        <x:f>B20-C20</x:f>
        <x:v>50</x:v>
      </x:c>
      <x:c r="F20" s="25" t="n">
        <x:f>C20/B20</x:f>
        <x:v>0</x:v>
      </x:c>
      <x:c r="G20" s="23" t="str">
        <x:f>IF(B20&gt;$B$5,"Yes","No")</x:f>
        <x:v>No</x:v>
      </x:c>
      <x:c r="H20" s="23" t="str">
        <x:f>IF(F20&gt;$B$4,"Yes","No")</x:f>
        <x:v>No</x:v>
      </x:c>
      <x:c r="I20" s="23" t="str">
        <x:f>IF(AND(G20="Yes",H20="Yes"),"Top-right","Other")</x:f>
        <x:v>Other</x:v>
      </x:c>
    </x:row>
    <x:row r="21">
      <x:c r="A21" s="23" t="str">
        <x:v>Baumbach Ltd</x:v>
      </x:c>
      <x:c r="B21" s="24" t="n">
        <x:v>51</x:v>
      </x:c>
      <x:c r="C21" s="24" t="n">
        <x:v>0</x:v>
      </x:c>
      <x:c r="D21" s="26" t="n">
        <x:v>0</x:v>
      </x:c>
      <x:c r="E21" s="24" t="n">
        <x:f>B21-C21</x:f>
        <x:v>51</x:v>
      </x:c>
      <x:c r="F21" s="25" t="n">
        <x:f>C21/B21</x:f>
        <x:v>0</x:v>
      </x:c>
      <x:c r="G21" s="23" t="str">
        <x:f>IF(B21&gt;$B$5,"Yes","No")</x:f>
        <x:v>No</x:v>
      </x:c>
      <x:c r="H21" s="23" t="str">
        <x:f>IF(F21&gt;$B$4,"Yes","No")</x:f>
        <x:v>No</x:v>
      </x:c>
      <x:c r="I21" s="23" t="str">
        <x:f>IF(AND(G21="Yes",H21="Yes"),"Top-right","Other")</x:f>
        <x:v>Other</x:v>
      </x:c>
    </x:row>
    <x:row r="22">
      <x:c r="A22" s="23" t="str">
        <x:v>Heller PLC</x:v>
      </x:c>
      <x:c r="B22" s="24" t="n">
        <x:v>51</x:v>
      </x:c>
      <x:c r="C22" s="24" t="n">
        <x:v>0</x:v>
      </x:c>
      <x:c r="D22" s="26" t="n">
        <x:v>0</x:v>
      </x:c>
      <x:c r="E22" s="24" t="n">
        <x:f>B22-C22</x:f>
        <x:v>51</x:v>
      </x:c>
      <x:c r="F22" s="25" t="n">
        <x:f>C22/B22</x:f>
        <x:v>0</x:v>
      </x:c>
      <x:c r="G22" s="23" t="str">
        <x:f>IF(B22&gt;$B$5,"Yes","No")</x:f>
        <x:v>No</x:v>
      </x:c>
      <x:c r="H22" s="23" t="str">
        <x:f>IF(F22&gt;$B$4,"Yes","No")</x:f>
        <x:v>No</x:v>
      </x:c>
      <x:c r="I22" s="23" t="str">
        <x:f>IF(AND(G22="Yes",H22="Yes"),"Top-right","Other")</x:f>
        <x:v>Other</x:v>
      </x:c>
    </x:row>
    <x:row r="23">
      <x:c r="A23" s="23" t="str">
        <x:v>Kassulke Inc</x:v>
      </x:c>
      <x:c r="B23" s="24" t="n">
        <x:v>51</x:v>
      </x:c>
      <x:c r="C23" s="24" t="n">
        <x:v>0</x:v>
      </x:c>
      <x:c r="D23" s="26" t="n">
        <x:v>0</x:v>
      </x:c>
      <x:c r="E23" s="24" t="n">
        <x:f>B23-C23</x:f>
        <x:v>51</x:v>
      </x:c>
      <x:c r="F23" s="25" t="n">
        <x:f>C23/B23</x:f>
        <x:v>0</x:v>
      </x:c>
      <x:c r="G23" s="23" t="str">
        <x:f>IF(B23&gt;$B$5,"Yes","No")</x:f>
        <x:v>No</x:v>
      </x:c>
      <x:c r="H23" s="23" t="str">
        <x:f>IF(F23&gt;$B$4,"Yes","No")</x:f>
        <x:v>No</x:v>
      </x:c>
      <x:c r="I23" s="23" t="str">
        <x:f>IF(AND(G23="Yes",H23="Yes"),"Top-right","Other")</x:f>
        <x:v>Other</x:v>
      </x:c>
    </x:row>
    <x:row r="24">
      <x:c r="A24" s="23" t="str">
        <x:v>Kuhn Group</x:v>
      </x:c>
      <x:c r="B24" s="24" t="n">
        <x:v>51</x:v>
      </x:c>
      <x:c r="C24" s="24" t="n">
        <x:v>0</x:v>
      </x:c>
      <x:c r="D24" s="26" t="n">
        <x:v>0</x:v>
      </x:c>
      <x:c r="E24" s="24" t="n">
        <x:f>B24-C24</x:f>
        <x:v>51</x:v>
      </x:c>
      <x:c r="F24" s="25" t="n">
        <x:f>C24/B24</x:f>
        <x:v>0</x:v>
      </x:c>
      <x:c r="G24" s="23" t="str">
        <x:f>IF(B24&gt;$B$5,"Yes","No")</x:f>
        <x:v>No</x:v>
      </x:c>
      <x:c r="H24" s="23" t="str">
        <x:f>IF(F24&gt;$B$4,"Yes","No")</x:f>
        <x:v>No</x:v>
      </x:c>
      <x:c r="I24" s="23" t="str">
        <x:f>IF(AND(G24="Yes",H24="Yes"),"Top-right","Other")</x:f>
        <x:v>Other</x:v>
      </x:c>
    </x:row>
    <x:row r="25">
      <x:c r="A25" s="23" t="str">
        <x:v>Lebsack and Sons</x:v>
      </x:c>
      <x:c r="B25" s="24" t="n">
        <x:v>51</x:v>
      </x:c>
      <x:c r="C25" s="24" t="n">
        <x:v>0</x:v>
      </x:c>
      <x:c r="D25" s="26" t="n">
        <x:v>0</x:v>
      </x:c>
      <x:c r="E25" s="24" t="n">
        <x:f>B25-C25</x:f>
        <x:v>51</x:v>
      </x:c>
      <x:c r="F25" s="25" t="n">
        <x:f>C25/B25</x:f>
        <x:v>0</x:v>
      </x:c>
      <x:c r="G25" s="23" t="str">
        <x:f>IF(B25&gt;$B$5,"Yes","No")</x:f>
        <x:v>No</x:v>
      </x:c>
      <x:c r="H25" s="23" t="str">
        <x:f>IF(F25&gt;$B$4,"Yes","No")</x:f>
        <x:v>No</x:v>
      </x:c>
      <x:c r="I25" s="23" t="str">
        <x:f>IF(AND(G25="Yes",H25="Yes"),"Top-right","Other")</x:f>
        <x:v>Other</x:v>
      </x:c>
    </x:row>
    <x:row r="26">
      <x:c r="A26" s="23" t="str">
        <x:v>Leffler-Goldner</x:v>
      </x:c>
      <x:c r="B26" s="24" t="n">
        <x:v>51</x:v>
      </x:c>
      <x:c r="C26" s="24" t="n">
        <x:v>0</x:v>
      </x:c>
      <x:c r="D26" s="26" t="n">
        <x:v>0</x:v>
      </x:c>
      <x:c r="E26" s="24" t="n">
        <x:f>B26-C26</x:f>
        <x:v>51</x:v>
      </x:c>
      <x:c r="F26" s="25" t="n">
        <x:f>C26/B26</x:f>
        <x:v>0</x:v>
      </x:c>
      <x:c r="G26" s="23" t="str">
        <x:f>IF(B26&gt;$B$5,"Yes","No")</x:f>
        <x:v>No</x:v>
      </x:c>
      <x:c r="H26" s="23" t="str">
        <x:f>IF(F26&gt;$B$4,"Yes","No")</x:f>
        <x:v>No</x:v>
      </x:c>
      <x:c r="I26" s="23" t="str">
        <x:f>IF(AND(G26="Yes",H26="Yes"),"Top-right","Other")</x:f>
        <x:v>Other</x:v>
      </x:c>
    </x:row>
    <x:row r="27">
      <x:c r="A27" s="23" t="str">
        <x:v>Lubowitz, Terry and Stracke</x:v>
      </x:c>
      <x:c r="B27" s="24" t="n">
        <x:v>51</x:v>
      </x:c>
      <x:c r="C27" s="24" t="n">
        <x:v>0</x:v>
      </x:c>
      <x:c r="D27" s="26" t="n">
        <x:v>0</x:v>
      </x:c>
      <x:c r="E27" s="24" t="n">
        <x:f>B27-C27</x:f>
        <x:v>51</x:v>
      </x:c>
      <x:c r="F27" s="25" t="n">
        <x:f>C27/B27</x:f>
        <x:v>0</x:v>
      </x:c>
      <x:c r="G27" s="23" t="str">
        <x:f>IF(B27&gt;$B$5,"Yes","No")</x:f>
        <x:v>No</x:v>
      </x:c>
      <x:c r="H27" s="23" t="str">
        <x:f>IF(F27&gt;$B$4,"Yes","No")</x:f>
        <x:v>No</x:v>
      </x:c>
      <x:c r="I27" s="23" t="str">
        <x:f>IF(AND(G27="Yes",H27="Yes"),"Top-right","Other")</x:f>
        <x:v>Other</x:v>
      </x:c>
    </x:row>
    <x:row r="28">
      <x:c r="A28" s="23" t="str">
        <x:v>Rolfson-Kunde</x:v>
      </x:c>
      <x:c r="B28" s="24" t="n">
        <x:v>51</x:v>
      </x:c>
      <x:c r="C28" s="24" t="n">
        <x:v>1</x:v>
      </x:c>
      <x:c r="D28" s="26" t="n">
        <x:v>19.77</x:v>
      </x:c>
      <x:c r="E28" s="24" t="n">
        <x:f>B28-C28</x:f>
        <x:v>50</x:v>
      </x:c>
      <x:c r="F28" s="25" t="n">
        <x:f>C28/B28</x:f>
        <x:v>0.0196078431372549</x:v>
      </x:c>
      <x:c r="G28" s="23" t="str">
        <x:f>IF(B28&gt;$B$5,"Yes","No")</x:f>
        <x:v>No</x:v>
      </x:c>
      <x:c r="H28" s="23" t="str">
        <x:f>IF(F28&gt;$B$4,"Yes","No")</x:f>
        <x:v>Yes</x:v>
      </x:c>
      <x:c r="I28" s="23" t="str">
        <x:f>IF(AND(G28="Yes",H28="Yes"),"Top-right","Other")</x:f>
        <x:v>Other</x:v>
      </x:c>
    </x:row>
    <x:row r="29">
      <x:c r="A29" s="23" t="str">
        <x:v>Watsica LLC</x:v>
      </x:c>
      <x:c r="B29" s="24" t="n">
        <x:v>51</x:v>
      </x:c>
      <x:c r="C29" s="24" t="n">
        <x:v>0</x:v>
      </x:c>
      <x:c r="D29" s="26" t="n">
        <x:v>0</x:v>
      </x:c>
      <x:c r="E29" s="24" t="n">
        <x:f>B29-C29</x:f>
        <x:v>51</x:v>
      </x:c>
      <x:c r="F29" s="25" t="n">
        <x:f>C29/B29</x:f>
        <x:v>0</x:v>
      </x:c>
      <x:c r="G29" s="23" t="str">
        <x:f>IF(B29&gt;$B$5,"Yes","No")</x:f>
        <x:v>No</x:v>
      </x:c>
      <x:c r="H29" s="23" t="str">
        <x:f>IF(F29&gt;$B$4,"Yes","No")</x:f>
        <x:v>No</x:v>
      </x:c>
      <x:c r="I29" s="23" t="str">
        <x:f>IF(AND(G29="Yes",H29="Yes"),"Top-right","Other")</x:f>
        <x:v>Other</x:v>
      </x:c>
    </x:row>
    <x:row r="30">
      <x:c r="A30" s="23" t="str">
        <x:v>Beier LLC</x:v>
      </x:c>
      <x:c r="B30" s="24" t="n">
        <x:v>52</x:v>
      </x:c>
      <x:c r="C30" s="24" t="n">
        <x:v>0</x:v>
      </x:c>
      <x:c r="D30" s="26" t="n">
        <x:v>0</x:v>
      </x:c>
      <x:c r="E30" s="24" t="n">
        <x:f>B30-C30</x:f>
        <x:v>52</x:v>
      </x:c>
      <x:c r="F30" s="25" t="n">
        <x:f>C30/B30</x:f>
        <x:v>0</x:v>
      </x:c>
      <x:c r="G30" s="23" t="str">
        <x:f>IF(B30&gt;$B$5,"Yes","No")</x:f>
        <x:v>No</x:v>
      </x:c>
      <x:c r="H30" s="23" t="str">
        <x:f>IF(F30&gt;$B$4,"Yes","No")</x:f>
        <x:v>No</x:v>
      </x:c>
      <x:c r="I30" s="23" t="str">
        <x:f>IF(AND(G30="Yes",H30="Yes"),"Top-right","Other")</x:f>
        <x:v>Other</x:v>
      </x:c>
    </x:row>
    <x:row r="31">
      <x:c r="A31" s="23" t="str">
        <x:v>Bins-Howell</x:v>
      </x:c>
      <x:c r="B31" s="24" t="n">
        <x:v>52</x:v>
      </x:c>
      <x:c r="C31" s="24" t="n">
        <x:v>0</x:v>
      </x:c>
      <x:c r="D31" s="26" t="n">
        <x:v>0</x:v>
      </x:c>
      <x:c r="E31" s="24" t="n">
        <x:f>B31-C31</x:f>
        <x:v>52</x:v>
      </x:c>
      <x:c r="F31" s="25" t="n">
        <x:f>C31/B31</x:f>
        <x:v>0</x:v>
      </x:c>
      <x:c r="G31" s="23" t="str">
        <x:f>IF(B31&gt;$B$5,"Yes","No")</x:f>
        <x:v>No</x:v>
      </x:c>
      <x:c r="H31" s="23" t="str">
        <x:f>IF(F31&gt;$B$4,"Yes","No")</x:f>
        <x:v>No</x:v>
      </x:c>
      <x:c r="I31" s="23" t="str">
        <x:f>IF(AND(G31="Yes",H31="Yes"),"Top-right","Other")</x:f>
        <x:v>Other</x:v>
      </x:c>
    </x:row>
    <x:row r="32">
      <x:c r="A32" s="23" t="str">
        <x:v>Connelly PLC</x:v>
      </x:c>
      <x:c r="B32" s="24" t="n">
        <x:v>52</x:v>
      </x:c>
      <x:c r="C32" s="24" t="n">
        <x:v>0</x:v>
      </x:c>
      <x:c r="D32" s="26" t="n">
        <x:v>0</x:v>
      </x:c>
      <x:c r="E32" s="24" t="n">
        <x:f>B32-C32</x:f>
        <x:v>52</x:v>
      </x:c>
      <x:c r="F32" s="25" t="n">
        <x:f>C32/B32</x:f>
        <x:v>0</x:v>
      </x:c>
      <x:c r="G32" s="23" t="str">
        <x:f>IF(B32&gt;$B$5,"Yes","No")</x:f>
        <x:v>No</x:v>
      </x:c>
      <x:c r="H32" s="23" t="str">
        <x:f>IF(F32&gt;$B$4,"Yes","No")</x:f>
        <x:v>No</x:v>
      </x:c>
      <x:c r="I32" s="23" t="str">
        <x:f>IF(AND(G32="Yes",H32="Yes"),"Top-right","Other")</x:f>
        <x:v>Other</x:v>
      </x:c>
    </x:row>
    <x:row r="33">
      <x:c r="A33" s="23" t="str">
        <x:v>Feil, Hilpert and Koss</x:v>
      </x:c>
      <x:c r="B33" s="24" t="n">
        <x:v>52</x:v>
      </x:c>
      <x:c r="C33" s="24" t="n">
        <x:v>0</x:v>
      </x:c>
      <x:c r="D33" s="26" t="n">
        <x:v>0</x:v>
      </x:c>
      <x:c r="E33" s="24" t="n">
        <x:f>B33-C33</x:f>
        <x:v>52</x:v>
      </x:c>
      <x:c r="F33" s="25" t="n">
        <x:f>C33/B33</x:f>
        <x:v>0</x:v>
      </x:c>
      <x:c r="G33" s="23" t="str">
        <x:f>IF(B33&gt;$B$5,"Yes","No")</x:f>
        <x:v>No</x:v>
      </x:c>
      <x:c r="H33" s="23" t="str">
        <x:f>IF(F33&gt;$B$4,"Yes","No")</x:f>
        <x:v>No</x:v>
      </x:c>
      <x:c r="I33" s="23" t="str">
        <x:f>IF(AND(G33="Yes",H33="Yes"),"Top-right","Other")</x:f>
        <x:v>Other</x:v>
      </x:c>
    </x:row>
    <x:row r="34">
      <x:c r="A34" s="23" t="str">
        <x:v>Hermiston, Pacocha and Smith</x:v>
      </x:c>
      <x:c r="B34" s="24" t="n">
        <x:v>52</x:v>
      </x:c>
      <x:c r="C34" s="24" t="n">
        <x:v>0</x:v>
      </x:c>
      <x:c r="D34" s="26" t="n">
        <x:v>0</x:v>
      </x:c>
      <x:c r="E34" s="24" t="n">
        <x:f>B34-C34</x:f>
        <x:v>52</x:v>
      </x:c>
      <x:c r="F34" s="25" t="n">
        <x:f>C34/B34</x:f>
        <x:v>0</x:v>
      </x:c>
      <x:c r="G34" s="23" t="str">
        <x:f>IF(B34&gt;$B$5,"Yes","No")</x:f>
        <x:v>No</x:v>
      </x:c>
      <x:c r="H34" s="23" t="str">
        <x:f>IF(F34&gt;$B$4,"Yes","No")</x:f>
        <x:v>No</x:v>
      </x:c>
      <x:c r="I34" s="23" t="str">
        <x:f>IF(AND(G34="Yes",H34="Yes"),"Top-right","Other")</x:f>
        <x:v>Other</x:v>
      </x:c>
    </x:row>
    <x:row r="35">
      <x:c r="A35" s="23" t="str">
        <x:v>Jaskolski-Vandervort</x:v>
      </x:c>
      <x:c r="B35" s="24" t="n">
        <x:v>52</x:v>
      </x:c>
      <x:c r="C35" s="24" t="n">
        <x:v>0</x:v>
      </x:c>
      <x:c r="D35" s="26" t="n">
        <x:v>0</x:v>
      </x:c>
      <x:c r="E35" s="24" t="n">
        <x:f>B35-C35</x:f>
        <x:v>52</x:v>
      </x:c>
      <x:c r="F35" s="25" t="n">
        <x:f>C35/B35</x:f>
        <x:v>0</x:v>
      </x:c>
      <x:c r="G35" s="23" t="str">
        <x:f>IF(B35&gt;$B$5,"Yes","No")</x:f>
        <x:v>No</x:v>
      </x:c>
      <x:c r="H35" s="23" t="str">
        <x:f>IF(F35&gt;$B$4,"Yes","No")</x:f>
        <x:v>No</x:v>
      </x:c>
      <x:c r="I35" s="23" t="str">
        <x:f>IF(AND(G35="Yes",H35="Yes"),"Top-right","Other")</x:f>
        <x:v>Other</x:v>
      </x:c>
    </x:row>
    <x:row r="36">
      <x:c r="A36" s="23" t="str">
        <x:v>Kub-Heaney</x:v>
      </x:c>
      <x:c r="B36" s="24" t="n">
        <x:v>52</x:v>
      </x:c>
      <x:c r="C36" s="24" t="n">
        <x:v>0</x:v>
      </x:c>
      <x:c r="D36" s="26" t="n">
        <x:v>0</x:v>
      </x:c>
      <x:c r="E36" s="24" t="n">
        <x:f>B36-C36</x:f>
        <x:v>52</x:v>
      </x:c>
      <x:c r="F36" s="25" t="n">
        <x:f>C36/B36</x:f>
        <x:v>0</x:v>
      </x:c>
      <x:c r="G36" s="23" t="str">
        <x:f>IF(B36&gt;$B$5,"Yes","No")</x:f>
        <x:v>No</x:v>
      </x:c>
      <x:c r="H36" s="23" t="str">
        <x:f>IF(F36&gt;$B$4,"Yes","No")</x:f>
        <x:v>No</x:v>
      </x:c>
      <x:c r="I36" s="23" t="str">
        <x:f>IF(AND(G36="Yes",H36="Yes"),"Top-right","Other")</x:f>
        <x:v>Other</x:v>
      </x:c>
    </x:row>
    <x:row r="37">
      <x:c r="A37" s="23" t="str">
        <x:v>Lehner, Mosciski and King</x:v>
      </x:c>
      <x:c r="B37" s="24" t="n">
        <x:v>52</x:v>
      </x:c>
      <x:c r="C37" s="24" t="n">
        <x:v>0</x:v>
      </x:c>
      <x:c r="D37" s="26" t="n">
        <x:v>0</x:v>
      </x:c>
      <x:c r="E37" s="24" t="n">
        <x:f>B37-C37</x:f>
        <x:v>52</x:v>
      </x:c>
      <x:c r="F37" s="25" t="n">
        <x:f>C37/B37</x:f>
        <x:v>0</x:v>
      </x:c>
      <x:c r="G37" s="23" t="str">
        <x:f>IF(B37&gt;$B$5,"Yes","No")</x:f>
        <x:v>No</x:v>
      </x:c>
      <x:c r="H37" s="23" t="str">
        <x:f>IF(F37&gt;$B$4,"Yes","No")</x:f>
        <x:v>No</x:v>
      </x:c>
      <x:c r="I37" s="23" t="str">
        <x:f>IF(AND(G37="Yes",H37="Yes"),"Top-right","Other")</x:f>
        <x:v>Other</x:v>
      </x:c>
    </x:row>
    <x:row r="38">
      <x:c r="A38" s="23" t="str">
        <x:v>Lind-Buckridge</x:v>
      </x:c>
      <x:c r="B38" s="24" t="n">
        <x:v>52</x:v>
      </x:c>
      <x:c r="C38" s="24" t="n">
        <x:v>0</x:v>
      </x:c>
      <x:c r="D38" s="26" t="n">
        <x:v>0</x:v>
      </x:c>
      <x:c r="E38" s="24" t="n">
        <x:f>B38-C38</x:f>
        <x:v>52</x:v>
      </x:c>
      <x:c r="F38" s="25" t="n">
        <x:f>C38/B38</x:f>
        <x:v>0</x:v>
      </x:c>
      <x:c r="G38" s="23" t="str">
        <x:f>IF(B38&gt;$B$5,"Yes","No")</x:f>
        <x:v>No</x:v>
      </x:c>
      <x:c r="H38" s="23" t="str">
        <x:f>IF(F38&gt;$B$4,"Yes","No")</x:f>
        <x:v>No</x:v>
      </x:c>
      <x:c r="I38" s="23" t="str">
        <x:f>IF(AND(G38="Yes",H38="Yes"),"Top-right","Other")</x:f>
        <x:v>Other</x:v>
      </x:c>
    </x:row>
    <x:row r="39">
      <x:c r="A39" s="23" t="str">
        <x:v>Maggio-Fahey</x:v>
      </x:c>
      <x:c r="B39" s="24" t="n">
        <x:v>52</x:v>
      </x:c>
      <x:c r="C39" s="24" t="n">
        <x:v>1</x:v>
      </x:c>
      <x:c r="D39" s="26" t="n">
        <x:v>864.04</x:v>
      </x:c>
      <x:c r="E39" s="24" t="n">
        <x:f>B39-C39</x:f>
        <x:v>51</x:v>
      </x:c>
      <x:c r="F39" s="25" t="n">
        <x:f>C39/B39</x:f>
        <x:v>0.019230769230769232</x:v>
      </x:c>
      <x:c r="G39" s="23" t="str">
        <x:f>IF(B39&gt;$B$5,"Yes","No")</x:f>
        <x:v>No</x:v>
      </x:c>
      <x:c r="H39" s="23" t="str">
        <x:f>IF(F39&gt;$B$4,"Yes","No")</x:f>
        <x:v>Yes</x:v>
      </x:c>
      <x:c r="I39" s="23" t="str">
        <x:f>IF(AND(G39="Yes",H39="Yes"),"Top-right","Other")</x:f>
        <x:v>Other</x:v>
      </x:c>
    </x:row>
    <x:row r="40">
      <x:c r="A40" s="23" t="str">
        <x:v>Nader-Maggio</x:v>
      </x:c>
      <x:c r="B40" s="24" t="n">
        <x:v>52</x:v>
      </x:c>
      <x:c r="C40" s="24" t="n">
        <x:v>0</x:v>
      </x:c>
      <x:c r="D40" s="26" t="n">
        <x:v>0</x:v>
      </x:c>
      <x:c r="E40" s="24" t="n">
        <x:f>B40-C40</x:f>
        <x:v>52</x:v>
      </x:c>
      <x:c r="F40" s="25" t="n">
        <x:f>C40/B40</x:f>
        <x:v>0</x:v>
      </x:c>
      <x:c r="G40" s="23" t="str">
        <x:f>IF(B40&gt;$B$5,"Yes","No")</x:f>
        <x:v>No</x:v>
      </x:c>
      <x:c r="H40" s="23" t="str">
        <x:f>IF(F40&gt;$B$4,"Yes","No")</x:f>
        <x:v>No</x:v>
      </x:c>
      <x:c r="I40" s="23" t="str">
        <x:f>IF(AND(G40="Yes",H40="Yes"),"Top-right","Other")</x:f>
        <x:v>Other</x:v>
      </x:c>
    </x:row>
    <x:row r="41">
      <x:c r="A41" s="23" t="str">
        <x:v>Reichel Inc</x:v>
      </x:c>
      <x:c r="B41" s="24" t="n">
        <x:v>52</x:v>
      </x:c>
      <x:c r="C41" s="24" t="n">
        <x:v>0</x:v>
      </x:c>
      <x:c r="D41" s="26" t="n">
        <x:v>0</x:v>
      </x:c>
      <x:c r="E41" s="24" t="n">
        <x:f>B41-C41</x:f>
        <x:v>52</x:v>
      </x:c>
      <x:c r="F41" s="25" t="n">
        <x:f>C41/B41</x:f>
        <x:v>0</x:v>
      </x:c>
      <x:c r="G41" s="23" t="str">
        <x:f>IF(B41&gt;$B$5,"Yes","No")</x:f>
        <x:v>No</x:v>
      </x:c>
      <x:c r="H41" s="23" t="str">
        <x:f>IF(F41&gt;$B$4,"Yes","No")</x:f>
        <x:v>No</x:v>
      </x:c>
      <x:c r="I41" s="23" t="str">
        <x:f>IF(AND(G41="Yes",H41="Yes"),"Top-right","Other")</x:f>
        <x:v>Other</x:v>
      </x:c>
    </x:row>
    <x:row r="42">
      <x:c r="A42" s="23" t="str">
        <x:v>Reichel LLC</x:v>
      </x:c>
      <x:c r="B42" s="24" t="n">
        <x:v>52</x:v>
      </x:c>
      <x:c r="C42" s="24" t="n">
        <x:v>1</x:v>
      </x:c>
      <x:c r="D42" s="26" t="n">
        <x:v>21.67</x:v>
      </x:c>
      <x:c r="E42" s="24" t="n">
        <x:f>B42-C42</x:f>
        <x:v>51</x:v>
      </x:c>
      <x:c r="F42" s="25" t="n">
        <x:f>C42/B42</x:f>
        <x:v>0.019230769230769232</x:v>
      </x:c>
      <x:c r="G42" s="23" t="str">
        <x:f>IF(B42&gt;$B$5,"Yes","No")</x:f>
        <x:v>No</x:v>
      </x:c>
      <x:c r="H42" s="23" t="str">
        <x:f>IF(F42&gt;$B$4,"Yes","No")</x:f>
        <x:v>Yes</x:v>
      </x:c>
      <x:c r="I42" s="23" t="str">
        <x:f>IF(AND(G42="Yes",H42="Yes"),"Top-right","Other")</x:f>
        <x:v>Other</x:v>
      </x:c>
    </x:row>
    <x:row r="43">
      <x:c r="A43" s="23" t="str">
        <x:v>Reilly and Sons</x:v>
      </x:c>
      <x:c r="B43" s="24" t="n">
        <x:v>52</x:v>
      </x:c>
      <x:c r="C43" s="24" t="n">
        <x:v>0</x:v>
      </x:c>
      <x:c r="D43" s="26" t="n">
        <x:v>0</x:v>
      </x:c>
      <x:c r="E43" s="24" t="n">
        <x:f>B43-C43</x:f>
        <x:v>52</x:v>
      </x:c>
      <x:c r="F43" s="25" t="n">
        <x:f>C43/B43</x:f>
        <x:v>0</x:v>
      </x:c>
      <x:c r="G43" s="23" t="str">
        <x:f>IF(B43&gt;$B$5,"Yes","No")</x:f>
        <x:v>No</x:v>
      </x:c>
      <x:c r="H43" s="23" t="str">
        <x:f>IF(F43&gt;$B$4,"Yes","No")</x:f>
        <x:v>No</x:v>
      </x:c>
      <x:c r="I43" s="23" t="str">
        <x:f>IF(AND(G43="Yes",H43="Yes"),"Top-right","Other")</x:f>
        <x:v>Other</x:v>
      </x:c>
    </x:row>
    <x:row r="44">
      <x:c r="A44" s="23" t="str">
        <x:v>Runte, Green and Emard</x:v>
      </x:c>
      <x:c r="B44" s="24" t="n">
        <x:v>52</x:v>
      </x:c>
      <x:c r="C44" s="24" t="n">
        <x:v>0</x:v>
      </x:c>
      <x:c r="D44" s="26" t="n">
        <x:v>0</x:v>
      </x:c>
      <x:c r="E44" s="24" t="n">
        <x:f>B44-C44</x:f>
        <x:v>52</x:v>
      </x:c>
      <x:c r="F44" s="25" t="n">
        <x:f>C44/B44</x:f>
        <x:v>0</x:v>
      </x:c>
      <x:c r="G44" s="23" t="str">
        <x:f>IF(B44&gt;$B$5,"Yes","No")</x:f>
        <x:v>No</x:v>
      </x:c>
      <x:c r="H44" s="23" t="str">
        <x:f>IF(F44&gt;$B$4,"Yes","No")</x:f>
        <x:v>No</x:v>
      </x:c>
      <x:c r="I44" s="23" t="str">
        <x:f>IF(AND(G44="Yes",H44="Yes"),"Top-right","Other")</x:f>
        <x:v>Other</x:v>
      </x:c>
    </x:row>
    <x:row r="45">
      <x:c r="A45" s="23" t="str">
        <x:v>Schmeler Inc</x:v>
      </x:c>
      <x:c r="B45" s="24" t="n">
        <x:v>52</x:v>
      </x:c>
      <x:c r="C45" s="24" t="n">
        <x:v>0</x:v>
      </x:c>
      <x:c r="D45" s="26" t="n">
        <x:v>0</x:v>
      </x:c>
      <x:c r="E45" s="24" t="n">
        <x:f>B45-C45</x:f>
        <x:v>52</x:v>
      </x:c>
      <x:c r="F45" s="25" t="n">
        <x:f>C45/B45</x:f>
        <x:v>0</x:v>
      </x:c>
      <x:c r="G45" s="23" t="str">
        <x:f>IF(B45&gt;$B$5,"Yes","No")</x:f>
        <x:v>No</x:v>
      </x:c>
      <x:c r="H45" s="23" t="str">
        <x:f>IF(F45&gt;$B$4,"Yes","No")</x:f>
        <x:v>No</x:v>
      </x:c>
      <x:c r="I45" s="23" t="str">
        <x:f>IF(AND(G45="Yes",H45="Yes"),"Top-right","Other")</x:f>
        <x:v>Other</x:v>
      </x:c>
    </x:row>
    <x:row r="46">
      <x:c r="A46" s="23" t="str">
        <x:v>Schuppe LLC</x:v>
      </x:c>
      <x:c r="B46" s="24" t="n">
        <x:v>52</x:v>
      </x:c>
      <x:c r="C46" s="24" t="n">
        <x:v>0</x:v>
      </x:c>
      <x:c r="D46" s="26" t="n">
        <x:v>0</x:v>
      </x:c>
      <x:c r="E46" s="24" t="n">
        <x:f>B46-C46</x:f>
        <x:v>52</x:v>
      </x:c>
      <x:c r="F46" s="25" t="n">
        <x:f>C46/B46</x:f>
        <x:v>0</x:v>
      </x:c>
      <x:c r="G46" s="23" t="str">
        <x:f>IF(B46&gt;$B$5,"Yes","No")</x:f>
        <x:v>No</x:v>
      </x:c>
      <x:c r="H46" s="23" t="str">
        <x:f>IF(F46&gt;$B$4,"Yes","No")</x:f>
        <x:v>No</x:v>
      </x:c>
      <x:c r="I46" s="23" t="str">
        <x:f>IF(AND(G46="Yes",H46="Yes"),"Top-right","Other")</x:f>
        <x:v>Other</x:v>
      </x:c>
    </x:row>
    <x:row r="47">
      <x:c r="A47" s="23" t="str">
        <x:v>Will Ltd</x:v>
      </x:c>
      <x:c r="B47" s="24" t="n">
        <x:v>52</x:v>
      </x:c>
      <x:c r="C47" s="24" t="n">
        <x:v>0</x:v>
      </x:c>
      <x:c r="D47" s="26" t="n">
        <x:v>0</x:v>
      </x:c>
      <x:c r="E47" s="24" t="n">
        <x:f>B47-C47</x:f>
        <x:v>52</x:v>
      </x:c>
      <x:c r="F47" s="25" t="n">
        <x:f>C47/B47</x:f>
        <x:v>0</x:v>
      </x:c>
      <x:c r="G47" s="23" t="str">
        <x:f>IF(B47&gt;$B$5,"Yes","No")</x:f>
        <x:v>No</x:v>
      </x:c>
      <x:c r="H47" s="23" t="str">
        <x:f>IF(F47&gt;$B$4,"Yes","No")</x:f>
        <x:v>No</x:v>
      </x:c>
      <x:c r="I47" s="23" t="str">
        <x:f>IF(AND(G47="Yes",H47="Yes"),"Top-right","Other")</x:f>
        <x:v>Other</x:v>
      </x:c>
    </x:row>
    <x:row r="48">
      <x:c r="A48" s="23" t="str">
        <x:v>Dickinson-Rempel</x:v>
      </x:c>
      <x:c r="B48" s="24" t="n">
        <x:v>53</x:v>
      </x:c>
      <x:c r="C48" s="24" t="n">
        <x:v>0</x:v>
      </x:c>
      <x:c r="D48" s="26" t="n">
        <x:v>0</x:v>
      </x:c>
      <x:c r="E48" s="24" t="n">
        <x:f>B48-C48</x:f>
        <x:v>53</x:v>
      </x:c>
      <x:c r="F48" s="25" t="n">
        <x:f>C48/B48</x:f>
        <x:v>0</x:v>
      </x:c>
      <x:c r="G48" s="23" t="str">
        <x:f>IF(B48&gt;$B$5,"Yes","No")</x:f>
        <x:v>No</x:v>
      </x:c>
      <x:c r="H48" s="23" t="str">
        <x:f>IF(F48&gt;$B$4,"Yes","No")</x:f>
        <x:v>No</x:v>
      </x:c>
      <x:c r="I48" s="23" t="str">
        <x:f>IF(AND(G48="Yes",H48="Yes"),"Top-right","Other")</x:f>
        <x:v>Other</x:v>
      </x:c>
    </x:row>
    <x:row r="49">
      <x:c r="A49" s="23" t="str">
        <x:v>Haag-Blanda</x:v>
      </x:c>
      <x:c r="B49" s="24" t="n">
        <x:v>53</x:v>
      </x:c>
      <x:c r="C49" s="24" t="n">
        <x:v>0</x:v>
      </x:c>
      <x:c r="D49" s="26" t="n">
        <x:v>0</x:v>
      </x:c>
      <x:c r="E49" s="24" t="n">
        <x:f>B49-C49</x:f>
        <x:v>53</x:v>
      </x:c>
      <x:c r="F49" s="25" t="n">
        <x:f>C49/B49</x:f>
        <x:v>0</x:v>
      </x:c>
      <x:c r="G49" s="23" t="str">
        <x:f>IF(B49&gt;$B$5,"Yes","No")</x:f>
        <x:v>No</x:v>
      </x:c>
      <x:c r="H49" s="23" t="str">
        <x:f>IF(F49&gt;$B$4,"Yes","No")</x:f>
        <x:v>No</x:v>
      </x:c>
      <x:c r="I49" s="23" t="str">
        <x:f>IF(AND(G49="Yes",H49="Yes"),"Top-right","Other")</x:f>
        <x:v>Other</x:v>
      </x:c>
    </x:row>
    <x:row r="50">
      <x:c r="A50" s="23" t="str">
        <x:v>Kihn, Brakus and Goyette</x:v>
      </x:c>
      <x:c r="B50" s="24" t="n">
        <x:v>53</x:v>
      </x:c>
      <x:c r="C50" s="24" t="n">
        <x:v>0</x:v>
      </x:c>
      <x:c r="D50" s="26" t="n">
        <x:v>0</x:v>
      </x:c>
      <x:c r="E50" s="24" t="n">
        <x:f>B50-C50</x:f>
        <x:v>53</x:v>
      </x:c>
      <x:c r="F50" s="25" t="n">
        <x:f>C50/B50</x:f>
        <x:v>0</x:v>
      </x:c>
      <x:c r="G50" s="23" t="str">
        <x:f>IF(B50&gt;$B$5,"Yes","No")</x:f>
        <x:v>No</x:v>
      </x:c>
      <x:c r="H50" s="23" t="str">
        <x:f>IF(F50&gt;$B$4,"Yes","No")</x:f>
        <x:v>No</x:v>
      </x:c>
      <x:c r="I50" s="23" t="str">
        <x:f>IF(AND(G50="Yes",H50="Yes"),"Top-right","Other")</x:f>
        <x:v>Other</x:v>
      </x:c>
    </x:row>
    <x:row r="51">
      <x:c r="A51" s="23" t="str">
        <x:v>Labadie LLC</x:v>
      </x:c>
      <x:c r="B51" s="24" t="n">
        <x:v>53</x:v>
      </x:c>
      <x:c r="C51" s="24" t="n">
        <x:v>0</x:v>
      </x:c>
      <x:c r="D51" s="26" t="n">
        <x:v>0</x:v>
      </x:c>
      <x:c r="E51" s="24" t="n">
        <x:f>B51-C51</x:f>
        <x:v>53</x:v>
      </x:c>
      <x:c r="F51" s="25" t="n">
        <x:f>C51/B51</x:f>
        <x:v>0</x:v>
      </x:c>
      <x:c r="G51" s="23" t="str">
        <x:f>IF(B51&gt;$B$5,"Yes","No")</x:f>
        <x:v>No</x:v>
      </x:c>
      <x:c r="H51" s="23" t="str">
        <x:f>IF(F51&gt;$B$4,"Yes","No")</x:f>
        <x:v>No</x:v>
      </x:c>
      <x:c r="I51" s="23" t="str">
        <x:f>IF(AND(G51="Yes",H51="Yes"),"Top-right","Other")</x:f>
        <x:v>Other</x:v>
      </x:c>
    </x:row>
    <x:row r="52">
      <x:c r="A52" s="23" t="str">
        <x:v>Larkin, Stracke and Greenfelder</x:v>
      </x:c>
      <x:c r="B52" s="24" t="n">
        <x:v>53</x:v>
      </x:c>
      <x:c r="C52" s="24" t="n">
        <x:v>0</x:v>
      </x:c>
      <x:c r="D52" s="26" t="n">
        <x:v>0</x:v>
      </x:c>
      <x:c r="E52" s="24" t="n">
        <x:f>B52-C52</x:f>
        <x:v>53</x:v>
      </x:c>
      <x:c r="F52" s="25" t="n">
        <x:f>C52/B52</x:f>
        <x:v>0</x:v>
      </x:c>
      <x:c r="G52" s="23" t="str">
        <x:f>IF(B52&gt;$B$5,"Yes","No")</x:f>
        <x:v>No</x:v>
      </x:c>
      <x:c r="H52" s="23" t="str">
        <x:f>IF(F52&gt;$B$4,"Yes","No")</x:f>
        <x:v>No</x:v>
      </x:c>
      <x:c r="I52" s="23" t="str">
        <x:f>IF(AND(G52="Yes",H52="Yes"),"Top-right","Other")</x:f>
        <x:v>Other</x:v>
      </x:c>
    </x:row>
    <x:row r="53">
      <x:c r="A53" s="23" t="str">
        <x:v>Schroeder Group</x:v>
      </x:c>
      <x:c r="B53" s="24" t="n">
        <x:v>53</x:v>
      </x:c>
      <x:c r="C53" s="24" t="n">
        <x:v>0</x:v>
      </x:c>
      <x:c r="D53" s="26" t="n">
        <x:v>0</x:v>
      </x:c>
      <x:c r="E53" s="24" t="n">
        <x:f>B53-C53</x:f>
        <x:v>53</x:v>
      </x:c>
      <x:c r="F53" s="25" t="n">
        <x:f>C53/B53</x:f>
        <x:v>0</x:v>
      </x:c>
      <x:c r="G53" s="23" t="str">
        <x:f>IF(B53&gt;$B$5,"Yes","No")</x:f>
        <x:v>No</x:v>
      </x:c>
      <x:c r="H53" s="23" t="str">
        <x:f>IF(F53&gt;$B$4,"Yes","No")</x:f>
        <x:v>No</x:v>
      </x:c>
      <x:c r="I53" s="23" t="str">
        <x:f>IF(AND(G53="Yes",H53="Yes"),"Top-right","Other")</x:f>
        <x:v>Other</x:v>
      </x:c>
    </x:row>
    <x:row r="54">
      <x:c r="A54" s="23" t="str">
        <x:v>Wisozk and Sons</x:v>
      </x:c>
      <x:c r="B54" s="24" t="n">
        <x:v>53</x:v>
      </x:c>
      <x:c r="C54" s="24" t="n">
        <x:v>0</x:v>
      </x:c>
      <x:c r="D54" s="26" t="n">
        <x:v>0</x:v>
      </x:c>
      <x:c r="E54" s="24" t="n">
        <x:f>B54-C54</x:f>
        <x:v>53</x:v>
      </x:c>
      <x:c r="F54" s="25" t="n">
        <x:f>C54/B54</x:f>
        <x:v>0</x:v>
      </x:c>
      <x:c r="G54" s="23" t="str">
        <x:f>IF(B54&gt;$B$5,"Yes","No")</x:f>
        <x:v>No</x:v>
      </x:c>
      <x:c r="H54" s="23" t="str">
        <x:f>IF(F54&gt;$B$4,"Yes","No")</x:f>
        <x:v>No</x:v>
      </x:c>
      <x:c r="I54" s="23" t="str">
        <x:f>IF(AND(G54="Yes",H54="Yes"),"Top-right","Other")</x:f>
        <x:v>Other</x:v>
      </x:c>
    </x:row>
    <x:row r="55">
      <x:c r="A55" s="23" t="str">
        <x:v>Wiza LLC</x:v>
      </x:c>
      <x:c r="B55" s="24" t="n">
        <x:v>53</x:v>
      </x:c>
      <x:c r="C55" s="24" t="n">
        <x:v>0</x:v>
      </x:c>
      <x:c r="D55" s="26" t="n">
        <x:v>0</x:v>
      </x:c>
      <x:c r="E55" s="24" t="n">
        <x:f>B55-C55</x:f>
        <x:v>53</x:v>
      </x:c>
      <x:c r="F55" s="25" t="n">
        <x:f>C55/B55</x:f>
        <x:v>0</x:v>
      </x:c>
      <x:c r="G55" s="23" t="str">
        <x:f>IF(B55&gt;$B$5,"Yes","No")</x:f>
        <x:v>No</x:v>
      </x:c>
      <x:c r="H55" s="23" t="str">
        <x:f>IF(F55&gt;$B$4,"Yes","No")</x:f>
        <x:v>No</x:v>
      </x:c>
      <x:c r="I55" s="23" t="str">
        <x:f>IF(AND(G55="Yes",H55="Yes"),"Top-right","Other")</x:f>
        <x:v>Other</x:v>
      </x:c>
    </x:row>
    <x:row r="56">
      <x:c r="A56" s="23" t="str">
        <x:v>Abernathy and Sons</x:v>
      </x:c>
      <x:c r="B56" s="24" t="n">
        <x:v>54</x:v>
      </x:c>
      <x:c r="C56" s="24" t="n">
        <x:v>1</x:v>
      </x:c>
      <x:c r="D56" s="26" t="n">
        <x:v>107.36</x:v>
      </x:c>
      <x:c r="E56" s="24" t="n">
        <x:f>B56-C56</x:f>
        <x:v>53</x:v>
      </x:c>
      <x:c r="F56" s="25" t="n">
        <x:f>C56/B56</x:f>
        <x:v>0.018518518518518517</x:v>
      </x:c>
      <x:c r="G56" s="23" t="str">
        <x:f>IF(B56&gt;$B$5,"Yes","No")</x:f>
        <x:v>No</x:v>
      </x:c>
      <x:c r="H56" s="23" t="str">
        <x:f>IF(F56&gt;$B$4,"Yes","No")</x:f>
        <x:v>Yes</x:v>
      </x:c>
      <x:c r="I56" s="23" t="str">
        <x:f>IF(AND(G56="Yes",H56="Yes"),"Top-right","Other")</x:f>
        <x:v>Other</x:v>
      </x:c>
    </x:row>
    <x:row r="57">
      <x:c r="A57" s="23" t="str">
        <x:v>Bahringer Group</x:v>
      </x:c>
      <x:c r="B57" s="24" t="n">
        <x:v>54</x:v>
      </x:c>
      <x:c r="C57" s="24" t="n">
        <x:v>0</x:v>
      </x:c>
      <x:c r="D57" s="26" t="n">
        <x:v>0</x:v>
      </x:c>
      <x:c r="E57" s="24" t="n">
        <x:f>B57-C57</x:f>
        <x:v>54</x:v>
      </x:c>
      <x:c r="F57" s="25" t="n">
        <x:f>C57/B57</x:f>
        <x:v>0</x:v>
      </x:c>
      <x:c r="G57" s="23" t="str">
        <x:f>IF(B57&gt;$B$5,"Yes","No")</x:f>
        <x:v>No</x:v>
      </x:c>
      <x:c r="H57" s="23" t="str">
        <x:f>IF(F57&gt;$B$4,"Yes","No")</x:f>
        <x:v>No</x:v>
      </x:c>
      <x:c r="I57" s="23" t="str">
        <x:f>IF(AND(G57="Yes",H57="Yes"),"Top-right","Other")</x:f>
        <x:v>Other</x:v>
      </x:c>
    </x:row>
    <x:row r="58">
      <x:c r="A58" s="23" t="str">
        <x:v>Baumbach, Feeney and Morar</x:v>
      </x:c>
      <x:c r="B58" s="24" t="n">
        <x:v>54</x:v>
      </x:c>
      <x:c r="C58" s="24" t="n">
        <x:v>0</x:v>
      </x:c>
      <x:c r="D58" s="26" t="n">
        <x:v>0</x:v>
      </x:c>
      <x:c r="E58" s="24" t="n">
        <x:f>B58-C58</x:f>
        <x:v>54</x:v>
      </x:c>
      <x:c r="F58" s="25" t="n">
        <x:f>C58/B58</x:f>
        <x:v>0</x:v>
      </x:c>
      <x:c r="G58" s="23" t="str">
        <x:f>IF(B58&gt;$B$5,"Yes","No")</x:f>
        <x:v>No</x:v>
      </x:c>
      <x:c r="H58" s="23" t="str">
        <x:f>IF(F58&gt;$B$4,"Yes","No")</x:f>
        <x:v>No</x:v>
      </x:c>
      <x:c r="I58" s="23" t="str">
        <x:f>IF(AND(G58="Yes",H58="Yes"),"Top-right","Other")</x:f>
        <x:v>Other</x:v>
      </x:c>
    </x:row>
    <x:row r="59">
      <x:c r="A59" s="23" t="str">
        <x:v>Christiansen-Gusikowski</x:v>
      </x:c>
      <x:c r="B59" s="24" t="n">
        <x:v>54</x:v>
      </x:c>
      <x:c r="C59" s="24" t="n">
        <x:v>0</x:v>
      </x:c>
      <x:c r="D59" s="26" t="n">
        <x:v>0</x:v>
      </x:c>
      <x:c r="E59" s="24" t="n">
        <x:f>B59-C59</x:f>
        <x:v>54</x:v>
      </x:c>
      <x:c r="F59" s="25" t="n">
        <x:f>C59/B59</x:f>
        <x:v>0</x:v>
      </x:c>
      <x:c r="G59" s="23" t="str">
        <x:f>IF(B59&gt;$B$5,"Yes","No")</x:f>
        <x:v>No</x:v>
      </x:c>
      <x:c r="H59" s="23" t="str">
        <x:f>IF(F59&gt;$B$4,"Yes","No")</x:f>
        <x:v>No</x:v>
      </x:c>
      <x:c r="I59" s="23" t="str">
        <x:f>IF(AND(G59="Yes",H59="Yes"),"Top-right","Other")</x:f>
        <x:v>Other</x:v>
      </x:c>
    </x:row>
    <x:row r="60">
      <x:c r="A60" s="23" t="str">
        <x:v>Dietrich-Fadel</x:v>
      </x:c>
      <x:c r="B60" s="24" t="n">
        <x:v>54</x:v>
      </x:c>
      <x:c r="C60" s="24" t="n">
        <x:v>0</x:v>
      </x:c>
      <x:c r="D60" s="26" t="n">
        <x:v>0</x:v>
      </x:c>
      <x:c r="E60" s="24" t="n">
        <x:f>B60-C60</x:f>
        <x:v>54</x:v>
      </x:c>
      <x:c r="F60" s="25" t="n">
        <x:f>C60/B60</x:f>
        <x:v>0</x:v>
      </x:c>
      <x:c r="G60" s="23" t="str">
        <x:f>IF(B60&gt;$B$5,"Yes","No")</x:f>
        <x:v>No</x:v>
      </x:c>
      <x:c r="H60" s="23" t="str">
        <x:f>IF(F60&gt;$B$4,"Yes","No")</x:f>
        <x:v>No</x:v>
      </x:c>
      <x:c r="I60" s="23" t="str">
        <x:f>IF(AND(G60="Yes",H60="Yes"),"Top-right","Other")</x:f>
        <x:v>Other</x:v>
      </x:c>
    </x:row>
    <x:row r="61">
      <x:c r="A61" s="23" t="str">
        <x:v>Erdman-Durgan</x:v>
      </x:c>
      <x:c r="B61" s="24" t="n">
        <x:v>54</x:v>
      </x:c>
      <x:c r="C61" s="24" t="n">
        <x:v>0</x:v>
      </x:c>
      <x:c r="D61" s="26" t="n">
        <x:v>0</x:v>
      </x:c>
      <x:c r="E61" s="24" t="n">
        <x:f>B61-C61</x:f>
        <x:v>54</x:v>
      </x:c>
      <x:c r="F61" s="25" t="n">
        <x:f>C61/B61</x:f>
        <x:v>0</x:v>
      </x:c>
      <x:c r="G61" s="23" t="str">
        <x:f>IF(B61&gt;$B$5,"Yes","No")</x:f>
        <x:v>No</x:v>
      </x:c>
      <x:c r="H61" s="23" t="str">
        <x:f>IF(F61&gt;$B$4,"Yes","No")</x:f>
        <x:v>No</x:v>
      </x:c>
      <x:c r="I61" s="23" t="str">
        <x:f>IF(AND(G61="Yes",H61="Yes"),"Top-right","Other")</x:f>
        <x:v>Other</x:v>
      </x:c>
    </x:row>
    <x:row r="62">
      <x:c r="A62" s="23" t="str">
        <x:v>Erdman-Schaden</x:v>
      </x:c>
      <x:c r="B62" s="24" t="n">
        <x:v>54</x:v>
      </x:c>
      <x:c r="C62" s="24" t="n">
        <x:v>0</x:v>
      </x:c>
      <x:c r="D62" s="26" t="n">
        <x:v>0</x:v>
      </x:c>
      <x:c r="E62" s="24" t="n">
        <x:f>B62-C62</x:f>
        <x:v>54</x:v>
      </x:c>
      <x:c r="F62" s="25" t="n">
        <x:f>C62/B62</x:f>
        <x:v>0</x:v>
      </x:c>
      <x:c r="G62" s="23" t="str">
        <x:f>IF(B62&gt;$B$5,"Yes","No")</x:f>
        <x:v>No</x:v>
      </x:c>
      <x:c r="H62" s="23" t="str">
        <x:f>IF(F62&gt;$B$4,"Yes","No")</x:f>
        <x:v>No</x:v>
      </x:c>
      <x:c r="I62" s="23" t="str">
        <x:f>IF(AND(G62="Yes",H62="Yes"),"Top-right","Other")</x:f>
        <x:v>Other</x:v>
      </x:c>
    </x:row>
    <x:row r="63">
      <x:c r="A63" s="23" t="str">
        <x:v>Friesen-Ortiz</x:v>
      </x:c>
      <x:c r="B63" s="24" t="n">
        <x:v>54</x:v>
      </x:c>
      <x:c r="C63" s="24" t="n">
        <x:v>0</x:v>
      </x:c>
      <x:c r="D63" s="26" t="n">
        <x:v>0</x:v>
      </x:c>
      <x:c r="E63" s="24" t="n">
        <x:f>B63-C63</x:f>
        <x:v>54</x:v>
      </x:c>
      <x:c r="F63" s="25" t="n">
        <x:f>C63/B63</x:f>
        <x:v>0</x:v>
      </x:c>
      <x:c r="G63" s="23" t="str">
        <x:f>IF(B63&gt;$B$5,"Yes","No")</x:f>
        <x:v>No</x:v>
      </x:c>
      <x:c r="H63" s="23" t="str">
        <x:f>IF(F63&gt;$B$4,"Yes","No")</x:f>
        <x:v>No</x:v>
      </x:c>
      <x:c r="I63" s="23" t="str">
        <x:f>IF(AND(G63="Yes",H63="Yes"),"Top-right","Other")</x:f>
        <x:v>Other</x:v>
      </x:c>
    </x:row>
    <x:row r="64">
      <x:c r="A64" s="23" t="str">
        <x:v>Mante, Luettgen and Hackett</x:v>
      </x:c>
      <x:c r="B64" s="24" t="n">
        <x:v>54</x:v>
      </x:c>
      <x:c r="C64" s="24" t="n">
        <x:v>0</x:v>
      </x:c>
      <x:c r="D64" s="26" t="n">
        <x:v>0</x:v>
      </x:c>
      <x:c r="E64" s="24" t="n">
        <x:f>B64-C64</x:f>
        <x:v>54</x:v>
      </x:c>
      <x:c r="F64" s="25" t="n">
        <x:f>C64/B64</x:f>
        <x:v>0</x:v>
      </x:c>
      <x:c r="G64" s="23" t="str">
        <x:f>IF(B64&gt;$B$5,"Yes","No")</x:f>
        <x:v>No</x:v>
      </x:c>
      <x:c r="H64" s="23" t="str">
        <x:f>IF(F64&gt;$B$4,"Yes","No")</x:f>
        <x:v>No</x:v>
      </x:c>
      <x:c r="I64" s="23" t="str">
        <x:f>IF(AND(G64="Yes",H64="Yes"),"Top-right","Other")</x:f>
        <x:v>Other</x:v>
      </x:c>
    </x:row>
    <x:row r="65">
      <x:c r="A65" s="23" t="str">
        <x:v>McDermott-Rice</x:v>
      </x:c>
      <x:c r="B65" s="24" t="n">
        <x:v>54</x:v>
      </x:c>
      <x:c r="C65" s="24" t="n">
        <x:v>0</x:v>
      </x:c>
      <x:c r="D65" s="26" t="n">
        <x:v>0</x:v>
      </x:c>
      <x:c r="E65" s="24" t="n">
        <x:f>B65-C65</x:f>
        <x:v>54</x:v>
      </x:c>
      <x:c r="F65" s="25" t="n">
        <x:f>C65/B65</x:f>
        <x:v>0</x:v>
      </x:c>
      <x:c r="G65" s="23" t="str">
        <x:f>IF(B65&gt;$B$5,"Yes","No")</x:f>
        <x:v>No</x:v>
      </x:c>
      <x:c r="H65" s="23" t="str">
        <x:f>IF(F65&gt;$B$4,"Yes","No")</x:f>
        <x:v>No</x:v>
      </x:c>
      <x:c r="I65" s="23" t="str">
        <x:f>IF(AND(G65="Yes",H65="Yes"),"Top-right","Other")</x:f>
        <x:v>Other</x:v>
      </x:c>
    </x:row>
    <x:row r="66">
      <x:c r="A66" s="23" t="str">
        <x:v>Padberg-Rogahn</x:v>
      </x:c>
      <x:c r="B66" s="24" t="n">
        <x:v>54</x:v>
      </x:c>
      <x:c r="C66" s="24" t="n">
        <x:v>0</x:v>
      </x:c>
      <x:c r="D66" s="26" t="n">
        <x:v>0</x:v>
      </x:c>
      <x:c r="E66" s="24" t="n">
        <x:f>B66-C66</x:f>
        <x:v>54</x:v>
      </x:c>
      <x:c r="F66" s="25" t="n">
        <x:f>C66/B66</x:f>
        <x:v>0</x:v>
      </x:c>
      <x:c r="G66" s="23" t="str">
        <x:f>IF(B66&gt;$B$5,"Yes","No")</x:f>
        <x:v>No</x:v>
      </x:c>
      <x:c r="H66" s="23" t="str">
        <x:f>IF(F66&gt;$B$4,"Yes","No")</x:f>
        <x:v>No</x:v>
      </x:c>
      <x:c r="I66" s="23" t="str">
        <x:f>IF(AND(G66="Yes",H66="Yes"),"Top-right","Other")</x:f>
        <x:v>Other</x:v>
      </x:c>
    </x:row>
    <x:row r="67">
      <x:c r="A67" s="23" t="str">
        <x:v>Spencer PLC</x:v>
      </x:c>
      <x:c r="B67" s="24" t="n">
        <x:v>54</x:v>
      </x:c>
      <x:c r="C67" s="24" t="n">
        <x:v>0</x:v>
      </x:c>
      <x:c r="D67" s="26" t="n">
        <x:v>0</x:v>
      </x:c>
      <x:c r="E67" s="24" t="n">
        <x:f>B67-C67</x:f>
        <x:v>54</x:v>
      </x:c>
      <x:c r="F67" s="25" t="n">
        <x:f>C67/B67</x:f>
        <x:v>0</x:v>
      </x:c>
      <x:c r="G67" s="23" t="str">
        <x:f>IF(B67&gt;$B$5,"Yes","No")</x:f>
        <x:v>No</x:v>
      </x:c>
      <x:c r="H67" s="23" t="str">
        <x:f>IF(F67&gt;$B$4,"Yes","No")</x:f>
        <x:v>No</x:v>
      </x:c>
      <x:c r="I67" s="23" t="str">
        <x:f>IF(AND(G67="Yes",H67="Yes"),"Top-right","Other")</x:f>
        <x:v>Other</x:v>
      </x:c>
    </x:row>
    <x:row r="68">
      <x:c r="A68" s="23" t="str">
        <x:v>Stamm-Rodriguez</x:v>
      </x:c>
      <x:c r="B68" s="24" t="n">
        <x:v>54</x:v>
      </x:c>
      <x:c r="C68" s="24" t="n">
        <x:v>0</x:v>
      </x:c>
      <x:c r="D68" s="26" t="n">
        <x:v>0</x:v>
      </x:c>
      <x:c r="E68" s="24" t="n">
        <x:f>B68-C68</x:f>
        <x:v>54</x:v>
      </x:c>
      <x:c r="F68" s="25" t="n">
        <x:f>C68/B68</x:f>
        <x:v>0</x:v>
      </x:c>
      <x:c r="G68" s="23" t="str">
        <x:f>IF(B68&gt;$B$5,"Yes","No")</x:f>
        <x:v>No</x:v>
      </x:c>
      <x:c r="H68" s="23" t="str">
        <x:f>IF(F68&gt;$B$4,"Yes","No")</x:f>
        <x:v>No</x:v>
      </x:c>
      <x:c r="I68" s="23" t="str">
        <x:f>IF(AND(G68="Yes",H68="Yes"),"Top-right","Other")</x:f>
        <x:v>Other</x:v>
      </x:c>
    </x:row>
    <x:row r="69">
      <x:c r="A69" s="23" t="str">
        <x:v>Turner, Ruecker and Parisian</x:v>
      </x:c>
      <x:c r="B69" s="24" t="n">
        <x:v>54</x:v>
      </x:c>
      <x:c r="C69" s="24" t="n">
        <x:v>0</x:v>
      </x:c>
      <x:c r="D69" s="26" t="n">
        <x:v>0</x:v>
      </x:c>
      <x:c r="E69" s="24" t="n">
        <x:f>B69-C69</x:f>
        <x:v>54</x:v>
      </x:c>
      <x:c r="F69" s="25" t="n">
        <x:f>C69/B69</x:f>
        <x:v>0</x:v>
      </x:c>
      <x:c r="G69" s="23" t="str">
        <x:f>IF(B69&gt;$B$5,"Yes","No")</x:f>
        <x:v>No</x:v>
      </x:c>
      <x:c r="H69" s="23" t="str">
        <x:f>IF(F69&gt;$B$4,"Yes","No")</x:f>
        <x:v>No</x:v>
      </x:c>
      <x:c r="I69" s="23" t="str">
        <x:f>IF(AND(G69="Yes",H69="Yes"),"Top-right","Other")</x:f>
        <x:v>Other</x:v>
      </x:c>
    </x:row>
    <x:row r="70">
      <x:c r="A70" s="23" t="str">
        <x:v>Wintheiser, Dietrich and Schimmel</x:v>
      </x:c>
      <x:c r="B70" s="24" t="n">
        <x:v>54</x:v>
      </x:c>
      <x:c r="C70" s="24" t="n">
        <x:v>0</x:v>
      </x:c>
      <x:c r="D70" s="26" t="n">
        <x:v>0</x:v>
      </x:c>
      <x:c r="E70" s="24" t="n">
        <x:f>B70-C70</x:f>
        <x:v>54</x:v>
      </x:c>
      <x:c r="F70" s="25" t="n">
        <x:f>C70/B70</x:f>
        <x:v>0</x:v>
      </x:c>
      <x:c r="G70" s="23" t="str">
        <x:f>IF(B70&gt;$B$5,"Yes","No")</x:f>
        <x:v>No</x:v>
      </x:c>
      <x:c r="H70" s="23" t="str">
        <x:f>IF(F70&gt;$B$4,"Yes","No")</x:f>
        <x:v>No</x:v>
      </x:c>
      <x:c r="I70" s="23" t="str">
        <x:f>IF(AND(G70="Yes",H70="Yes"),"Top-right","Other")</x:f>
        <x:v>Other</x:v>
      </x:c>
    </x:row>
    <x:row r="71">
      <x:c r="A71" s="23" t="str">
        <x:v>Zulauf LLC</x:v>
      </x:c>
      <x:c r="B71" s="24" t="n">
        <x:v>54</x:v>
      </x:c>
      <x:c r="C71" s="24" t="n">
        <x:v>0</x:v>
      </x:c>
      <x:c r="D71" s="26" t="n">
        <x:v>0</x:v>
      </x:c>
      <x:c r="E71" s="24" t="n">
        <x:f>B71-C71</x:f>
        <x:v>54</x:v>
      </x:c>
      <x:c r="F71" s="25" t="n">
        <x:f>C71/B71</x:f>
        <x:v>0</x:v>
      </x:c>
      <x:c r="G71" s="23" t="str">
        <x:f>IF(B71&gt;$B$5,"Yes","No")</x:f>
        <x:v>No</x:v>
      </x:c>
      <x:c r="H71" s="23" t="str">
        <x:f>IF(F71&gt;$B$4,"Yes","No")</x:f>
        <x:v>No</x:v>
      </x:c>
      <x:c r="I71" s="23" t="str">
        <x:f>IF(AND(G71="Yes",H71="Yes"),"Top-right","Other")</x:f>
        <x:v>Other</x:v>
      </x:c>
    </x:row>
    <x:row r="72">
      <x:c r="A72" s="23" t="str">
        <x:v>Bahringer-Streich</x:v>
      </x:c>
      <x:c r="B72" s="24" t="n">
        <x:v>55</x:v>
      </x:c>
      <x:c r="C72" s="24" t="n">
        <x:v>0</x:v>
      </x:c>
      <x:c r="D72" s="26" t="n">
        <x:v>0</x:v>
      </x:c>
      <x:c r="E72" s="24" t="n">
        <x:f>B72-C72</x:f>
        <x:v>55</x:v>
      </x:c>
      <x:c r="F72" s="25" t="n">
        <x:f>C72/B72</x:f>
        <x:v>0</x:v>
      </x:c>
      <x:c r="G72" s="23" t="str">
        <x:f>IF(B72&gt;$B$5,"Yes","No")</x:f>
        <x:v>No</x:v>
      </x:c>
      <x:c r="H72" s="23" t="str">
        <x:f>IF(F72&gt;$B$4,"Yes","No")</x:f>
        <x:v>No</x:v>
      </x:c>
      <x:c r="I72" s="23" t="str">
        <x:f>IF(AND(G72="Yes",H72="Yes"),"Top-right","Other")</x:f>
        <x:v>Other</x:v>
      </x:c>
    </x:row>
    <x:row r="73">
      <x:c r="A73" s="23" t="str">
        <x:v>Bernhard-Lesch</x:v>
      </x:c>
      <x:c r="B73" s="24" t="n">
        <x:v>55</x:v>
      </x:c>
      <x:c r="C73" s="24" t="n">
        <x:v>0</x:v>
      </x:c>
      <x:c r="D73" s="26" t="n">
        <x:v>0</x:v>
      </x:c>
      <x:c r="E73" s="24" t="n">
        <x:f>B73-C73</x:f>
        <x:v>55</x:v>
      </x:c>
      <x:c r="F73" s="25" t="n">
        <x:f>C73/B73</x:f>
        <x:v>0</x:v>
      </x:c>
      <x:c r="G73" s="23" t="str">
        <x:f>IF(B73&gt;$B$5,"Yes","No")</x:f>
        <x:v>No</x:v>
      </x:c>
      <x:c r="H73" s="23" t="str">
        <x:f>IF(F73&gt;$B$4,"Yes","No")</x:f>
        <x:v>No</x:v>
      </x:c>
      <x:c r="I73" s="23" t="str">
        <x:f>IF(AND(G73="Yes",H73="Yes"),"Top-right","Other")</x:f>
        <x:v>Other</x:v>
      </x:c>
    </x:row>
    <x:row r="74">
      <x:c r="A74" s="23" t="str">
        <x:v>Cronin, Kshlerin and Weber</x:v>
      </x:c>
      <x:c r="B74" s="24" t="n">
        <x:v>55</x:v>
      </x:c>
      <x:c r="C74" s="24" t="n">
        <x:v>0</x:v>
      </x:c>
      <x:c r="D74" s="26" t="n">
        <x:v>0</x:v>
      </x:c>
      <x:c r="E74" s="24" t="n">
        <x:f>B74-C74</x:f>
        <x:v>55</x:v>
      </x:c>
      <x:c r="F74" s="25" t="n">
        <x:f>C74/B74</x:f>
        <x:v>0</x:v>
      </x:c>
      <x:c r="G74" s="23" t="str">
        <x:f>IF(B74&gt;$B$5,"Yes","No")</x:f>
        <x:v>No</x:v>
      </x:c>
      <x:c r="H74" s="23" t="str">
        <x:f>IF(F74&gt;$B$4,"Yes","No")</x:f>
        <x:v>No</x:v>
      </x:c>
      <x:c r="I74" s="23" t="str">
        <x:f>IF(AND(G74="Yes",H74="Yes"),"Top-right","Other")</x:f>
        <x:v>Other</x:v>
      </x:c>
    </x:row>
    <x:row r="75">
      <x:c r="A75" s="23" t="str">
        <x:v>Fadel Inc</x:v>
      </x:c>
      <x:c r="B75" s="24" t="n">
        <x:v>55</x:v>
      </x:c>
      <x:c r="C75" s="24" t="n">
        <x:v>0</x:v>
      </x:c>
      <x:c r="D75" s="26" t="n">
        <x:v>0</x:v>
      </x:c>
      <x:c r="E75" s="24" t="n">
        <x:f>B75-C75</x:f>
        <x:v>55</x:v>
      </x:c>
      <x:c r="F75" s="25" t="n">
        <x:f>C75/B75</x:f>
        <x:v>0</x:v>
      </x:c>
      <x:c r="G75" s="23" t="str">
        <x:f>IF(B75&gt;$B$5,"Yes","No")</x:f>
        <x:v>No</x:v>
      </x:c>
      <x:c r="H75" s="23" t="str">
        <x:f>IF(F75&gt;$B$4,"Yes","No")</x:f>
        <x:v>No</x:v>
      </x:c>
      <x:c r="I75" s="23" t="str">
        <x:f>IF(AND(G75="Yes",H75="Yes"),"Top-right","Other")</x:f>
        <x:v>Other</x:v>
      </x:c>
    </x:row>
    <x:row r="76">
      <x:c r="A76" s="23" t="str">
        <x:v>Hirthe-Beier</x:v>
      </x:c>
      <x:c r="B76" s="24" t="n">
        <x:v>55</x:v>
      </x:c>
      <x:c r="C76" s="24" t="n">
        <x:v>0</x:v>
      </x:c>
      <x:c r="D76" s="26" t="n">
        <x:v>0</x:v>
      </x:c>
      <x:c r="E76" s="24" t="n">
        <x:f>B76-C76</x:f>
        <x:v>55</x:v>
      </x:c>
      <x:c r="F76" s="25" t="n">
        <x:f>C76/B76</x:f>
        <x:v>0</x:v>
      </x:c>
      <x:c r="G76" s="23" t="str">
        <x:f>IF(B76&gt;$B$5,"Yes","No")</x:f>
        <x:v>No</x:v>
      </x:c>
      <x:c r="H76" s="23" t="str">
        <x:f>IF(F76&gt;$B$4,"Yes","No")</x:f>
        <x:v>No</x:v>
      </x:c>
      <x:c r="I76" s="23" t="str">
        <x:f>IF(AND(G76="Yes",H76="Yes"),"Top-right","Other")</x:f>
        <x:v>Other</x:v>
      </x:c>
    </x:row>
    <x:row r="77">
      <x:c r="A77" s="23" t="str">
        <x:v>Kub PLC</x:v>
      </x:c>
      <x:c r="B77" s="24" t="n">
        <x:v>55</x:v>
      </x:c>
      <x:c r="C77" s="24" t="n">
        <x:v>0</x:v>
      </x:c>
      <x:c r="D77" s="26" t="n">
        <x:v>0</x:v>
      </x:c>
      <x:c r="E77" s="24" t="n">
        <x:f>B77-C77</x:f>
        <x:v>55</x:v>
      </x:c>
      <x:c r="F77" s="25" t="n">
        <x:f>C77/B77</x:f>
        <x:v>0</x:v>
      </x:c>
      <x:c r="G77" s="23" t="str">
        <x:f>IF(B77&gt;$B$5,"Yes","No")</x:f>
        <x:v>No</x:v>
      </x:c>
      <x:c r="H77" s="23" t="str">
        <x:f>IF(F77&gt;$B$4,"Yes","No")</x:f>
        <x:v>No</x:v>
      </x:c>
      <x:c r="I77" s="23" t="str">
        <x:f>IF(AND(G77="Yes",H77="Yes"),"Top-right","Other")</x:f>
        <x:v>Other</x:v>
      </x:c>
    </x:row>
    <x:row r="78">
      <x:c r="A78" s="23" t="str">
        <x:v>Leannon-Ward</x:v>
      </x:c>
      <x:c r="B78" s="24" t="n">
        <x:v>55</x:v>
      </x:c>
      <x:c r="C78" s="24" t="n">
        <x:v>0</x:v>
      </x:c>
      <x:c r="D78" s="26" t="n">
        <x:v>0</x:v>
      </x:c>
      <x:c r="E78" s="24" t="n">
        <x:f>B78-C78</x:f>
        <x:v>55</x:v>
      </x:c>
      <x:c r="F78" s="25" t="n">
        <x:f>C78/B78</x:f>
        <x:v>0</x:v>
      </x:c>
      <x:c r="G78" s="23" t="str">
        <x:f>IF(B78&gt;$B$5,"Yes","No")</x:f>
        <x:v>No</x:v>
      </x:c>
      <x:c r="H78" s="23" t="str">
        <x:f>IF(F78&gt;$B$4,"Yes","No")</x:f>
        <x:v>No</x:v>
      </x:c>
      <x:c r="I78" s="23" t="str">
        <x:f>IF(AND(G78="Yes",H78="Yes"),"Top-right","Other")</x:f>
        <x:v>Other</x:v>
      </x:c>
    </x:row>
    <x:row r="79">
      <x:c r="A79" s="23" t="str">
        <x:v>Lehner, Reichert and Mills</x:v>
      </x:c>
      <x:c r="B79" s="24" t="n">
        <x:v>55</x:v>
      </x:c>
      <x:c r="C79" s="24" t="n">
        <x:v>0</x:v>
      </x:c>
      <x:c r="D79" s="26" t="n">
        <x:v>0</x:v>
      </x:c>
      <x:c r="E79" s="24" t="n">
        <x:f>B79-C79</x:f>
        <x:v>55</x:v>
      </x:c>
      <x:c r="F79" s="25" t="n">
        <x:f>C79/B79</x:f>
        <x:v>0</x:v>
      </x:c>
      <x:c r="G79" s="23" t="str">
        <x:f>IF(B79&gt;$B$5,"Yes","No")</x:f>
        <x:v>No</x:v>
      </x:c>
      <x:c r="H79" s="23" t="str">
        <x:f>IF(F79&gt;$B$4,"Yes","No")</x:f>
        <x:v>No</x:v>
      </x:c>
      <x:c r="I79" s="23" t="str">
        <x:f>IF(AND(G79="Yes",H79="Yes"),"Top-right","Other")</x:f>
        <x:v>Other</x:v>
      </x:c>
    </x:row>
    <x:row r="80">
      <x:c r="A80" s="23" t="str">
        <x:v>McGlynn-Jaskolski</x:v>
      </x:c>
      <x:c r="B80" s="24" t="n">
        <x:v>55</x:v>
      </x:c>
      <x:c r="C80" s="24" t="n">
        <x:v>0</x:v>
      </x:c>
      <x:c r="D80" s="26" t="n">
        <x:v>0</x:v>
      </x:c>
      <x:c r="E80" s="24" t="n">
        <x:f>B80-C80</x:f>
        <x:v>55</x:v>
      </x:c>
      <x:c r="F80" s="25" t="n">
        <x:f>C80/B80</x:f>
        <x:v>0</x:v>
      </x:c>
      <x:c r="G80" s="23" t="str">
        <x:f>IF(B80&gt;$B$5,"Yes","No")</x:f>
        <x:v>No</x:v>
      </x:c>
      <x:c r="H80" s="23" t="str">
        <x:f>IF(F80&gt;$B$4,"Yes","No")</x:f>
        <x:v>No</x:v>
      </x:c>
      <x:c r="I80" s="23" t="str">
        <x:f>IF(AND(G80="Yes",H80="Yes"),"Top-right","Other")</x:f>
        <x:v>Other</x:v>
      </x:c>
    </x:row>
    <x:row r="81">
      <x:c r="A81" s="23" t="str">
        <x:v>Schuppe-Schuppe</x:v>
      </x:c>
      <x:c r="B81" s="24" t="n">
        <x:v>55</x:v>
      </x:c>
      <x:c r="C81" s="24" t="n">
        <x:v>0</x:v>
      </x:c>
      <x:c r="D81" s="26" t="n">
        <x:v>0</x:v>
      </x:c>
      <x:c r="E81" s="24" t="n">
        <x:f>B81-C81</x:f>
        <x:v>55</x:v>
      </x:c>
      <x:c r="F81" s="25" t="n">
        <x:f>C81/B81</x:f>
        <x:v>0</x:v>
      </x:c>
      <x:c r="G81" s="23" t="str">
        <x:f>IF(B81&gt;$B$5,"Yes","No")</x:f>
        <x:v>No</x:v>
      </x:c>
      <x:c r="H81" s="23" t="str">
        <x:f>IF(F81&gt;$B$4,"Yes","No")</x:f>
        <x:v>No</x:v>
      </x:c>
      <x:c r="I81" s="23" t="str">
        <x:f>IF(AND(G81="Yes",H81="Yes"),"Top-right","Other")</x:f>
        <x:v>Other</x:v>
      </x:c>
    </x:row>
    <x:row r="82">
      <x:c r="A82" s="23" t="str">
        <x:v>Streich, Dietrich and Barton</x:v>
      </x:c>
      <x:c r="B82" s="24" t="n">
        <x:v>55</x:v>
      </x:c>
      <x:c r="C82" s="24" t="n">
        <x:v>0</x:v>
      </x:c>
      <x:c r="D82" s="26" t="n">
        <x:v>0</x:v>
      </x:c>
      <x:c r="E82" s="24" t="n">
        <x:f>B82-C82</x:f>
        <x:v>55</x:v>
      </x:c>
      <x:c r="F82" s="25" t="n">
        <x:f>C82/B82</x:f>
        <x:v>0</x:v>
      </x:c>
      <x:c r="G82" s="23" t="str">
        <x:f>IF(B82&gt;$B$5,"Yes","No")</x:f>
        <x:v>No</x:v>
      </x:c>
      <x:c r="H82" s="23" t="str">
        <x:f>IF(F82&gt;$B$4,"Yes","No")</x:f>
        <x:v>No</x:v>
      </x:c>
      <x:c r="I82" s="23" t="str">
        <x:f>IF(AND(G82="Yes",H82="Yes"),"Top-right","Other")</x:f>
        <x:v>Other</x:v>
      </x:c>
    </x:row>
    <x:row r="83">
      <x:c r="A83" s="23" t="str">
        <x:v>Thompson-Gleason</x:v>
      </x:c>
      <x:c r="B83" s="24" t="n">
        <x:v>55</x:v>
      </x:c>
      <x:c r="C83" s="24" t="n">
        <x:v>0</x:v>
      </x:c>
      <x:c r="D83" s="26" t="n">
        <x:v>0</x:v>
      </x:c>
      <x:c r="E83" s="24" t="n">
        <x:f>B83-C83</x:f>
        <x:v>55</x:v>
      </x:c>
      <x:c r="F83" s="25" t="n">
        <x:f>C83/B83</x:f>
        <x:v>0</x:v>
      </x:c>
      <x:c r="G83" s="23" t="str">
        <x:f>IF(B83&gt;$B$5,"Yes","No")</x:f>
        <x:v>No</x:v>
      </x:c>
      <x:c r="H83" s="23" t="str">
        <x:f>IF(F83&gt;$B$4,"Yes","No")</x:f>
        <x:v>No</x:v>
      </x:c>
      <x:c r="I83" s="23" t="str">
        <x:f>IF(AND(G83="Yes",H83="Yes"),"Top-right","Other")</x:f>
        <x:v>Other</x:v>
      </x:c>
    </x:row>
    <x:row r="84">
      <x:c r="A84" s="23" t="str">
        <x:v>Zboncak LLC</x:v>
      </x:c>
      <x:c r="B84" s="24" t="n">
        <x:v>55</x:v>
      </x:c>
      <x:c r="C84" s="24" t="n">
        <x:v>1</x:v>
      </x:c>
      <x:c r="D84" s="26" t="n">
        <x:v>103.55</x:v>
      </x:c>
      <x:c r="E84" s="24" t="n">
        <x:f>B84-C84</x:f>
        <x:v>54</x:v>
      </x:c>
      <x:c r="F84" s="25" t="n">
        <x:f>C84/B84</x:f>
        <x:v>0.01818181818181818</x:v>
      </x:c>
      <x:c r="G84" s="23" t="str">
        <x:f>IF(B84&gt;$B$5,"Yes","No")</x:f>
        <x:v>No</x:v>
      </x:c>
      <x:c r="H84" s="23" t="str">
        <x:f>IF(F84&gt;$B$4,"Yes","No")</x:f>
        <x:v>Yes</x:v>
      </x:c>
      <x:c r="I84" s="23" t="str">
        <x:f>IF(AND(G84="Yes",H84="Yes"),"Top-right","Other")</x:f>
        <x:v>Other</x:v>
      </x:c>
    </x:row>
    <x:row r="85">
      <x:c r="A85" s="23" t="str">
        <x:v>Adams-Barrows</x:v>
      </x:c>
      <x:c r="B85" s="24" t="n">
        <x:v>56</x:v>
      </x:c>
      <x:c r="C85" s="24" t="n">
        <x:v>0</x:v>
      </x:c>
      <x:c r="D85" s="26" t="n">
        <x:v>0</x:v>
      </x:c>
      <x:c r="E85" s="24" t="n">
        <x:f>B85-C85</x:f>
        <x:v>56</x:v>
      </x:c>
      <x:c r="F85" s="25" t="n">
        <x:f>C85/B85</x:f>
        <x:v>0</x:v>
      </x:c>
      <x:c r="G85" s="23" t="str">
        <x:f>IF(B85&gt;$B$5,"Yes","No")</x:f>
        <x:v>No</x:v>
      </x:c>
      <x:c r="H85" s="23" t="str">
        <x:f>IF(F85&gt;$B$4,"Yes","No")</x:f>
        <x:v>No</x:v>
      </x:c>
      <x:c r="I85" s="23" t="str">
        <x:f>IF(AND(G85="Yes",H85="Yes"),"Top-right","Other")</x:f>
        <x:v>Other</x:v>
      </x:c>
    </x:row>
    <x:row r="86">
      <x:c r="A86" s="23" t="str">
        <x:v>Ankunding LLC</x:v>
      </x:c>
      <x:c r="B86" s="24" t="n">
        <x:v>56</x:v>
      </x:c>
      <x:c r="C86" s="24" t="n">
        <x:v>2</x:v>
      </x:c>
      <x:c r="D86" s="26" t="n">
        <x:v>2177.4</x:v>
      </x:c>
      <x:c r="E86" s="24" t="n">
        <x:f>B86-C86</x:f>
        <x:v>54</x:v>
      </x:c>
      <x:c r="F86" s="25" t="n">
        <x:f>C86/B86</x:f>
        <x:v>0.03571428571428571</x:v>
      </x:c>
      <x:c r="G86" s="23" t="str">
        <x:f>IF(B86&gt;$B$5,"Yes","No")</x:f>
        <x:v>No</x:v>
      </x:c>
      <x:c r="H86" s="23" t="str">
        <x:f>IF(F86&gt;$B$4,"Yes","No")</x:f>
        <x:v>Yes</x:v>
      </x:c>
      <x:c r="I86" s="23" t="str">
        <x:f>IF(AND(G86="Yes",H86="Yes"),"Top-right","Other")</x:f>
        <x:v>Other</x:v>
      </x:c>
    </x:row>
    <x:row r="87">
      <x:c r="A87" s="23" t="str">
        <x:v>Barrows PLC</x:v>
      </x:c>
      <x:c r="B87" s="24" t="n">
        <x:v>56</x:v>
      </x:c>
      <x:c r="C87" s="24" t="n">
        <x:v>0</x:v>
      </x:c>
      <x:c r="D87" s="26" t="n">
        <x:v>0</x:v>
      </x:c>
      <x:c r="E87" s="24" t="n">
        <x:f>B87-C87</x:f>
        <x:v>56</x:v>
      </x:c>
      <x:c r="F87" s="25" t="n">
        <x:f>C87/B87</x:f>
        <x:v>0</x:v>
      </x:c>
      <x:c r="G87" s="23" t="str">
        <x:f>IF(B87&gt;$B$5,"Yes","No")</x:f>
        <x:v>No</x:v>
      </x:c>
      <x:c r="H87" s="23" t="str">
        <x:f>IF(F87&gt;$B$4,"Yes","No")</x:f>
        <x:v>No</x:v>
      </x:c>
      <x:c r="I87" s="23" t="str">
        <x:f>IF(AND(G87="Yes",H87="Yes"),"Top-right","Other")</x:f>
        <x:v>Other</x:v>
      </x:c>
    </x:row>
    <x:row r="88">
      <x:c r="A88" s="23" t="str">
        <x:v>Cruickshank-Mills</x:v>
      </x:c>
      <x:c r="B88" s="24" t="n">
        <x:v>56</x:v>
      </x:c>
      <x:c r="C88" s="24" t="n">
        <x:v>0</x:v>
      </x:c>
      <x:c r="D88" s="26" t="n">
        <x:v>0</x:v>
      </x:c>
      <x:c r="E88" s="24" t="n">
        <x:f>B88-C88</x:f>
        <x:v>56</x:v>
      </x:c>
      <x:c r="F88" s="25" t="n">
        <x:f>C88/B88</x:f>
        <x:v>0</x:v>
      </x:c>
      <x:c r="G88" s="23" t="str">
        <x:f>IF(B88&gt;$B$5,"Yes","No")</x:f>
        <x:v>No</x:v>
      </x:c>
      <x:c r="H88" s="23" t="str">
        <x:f>IF(F88&gt;$B$4,"Yes","No")</x:f>
        <x:v>No</x:v>
      </x:c>
      <x:c r="I88" s="23" t="str">
        <x:f>IF(AND(G88="Yes",H88="Yes"),"Top-right","Other")</x:f>
        <x:v>Other</x:v>
      </x:c>
    </x:row>
    <x:row r="89">
      <x:c r="A89" s="23" t="str">
        <x:v>Dare-Marvin</x:v>
      </x:c>
      <x:c r="B89" s="24" t="n">
        <x:v>56</x:v>
      </x:c>
      <x:c r="C89" s="24" t="n">
        <x:v>1</x:v>
      </x:c>
      <x:c r="D89" s="26" t="n">
        <x:v>499.28</x:v>
      </x:c>
      <x:c r="E89" s="24" t="n">
        <x:f>B89-C89</x:f>
        <x:v>55</x:v>
      </x:c>
      <x:c r="F89" s="25" t="n">
        <x:f>C89/B89</x:f>
        <x:v>0.017857142857142856</x:v>
      </x:c>
      <x:c r="G89" s="23" t="str">
        <x:f>IF(B89&gt;$B$5,"Yes","No")</x:f>
        <x:v>No</x:v>
      </x:c>
      <x:c r="H89" s="23" t="str">
        <x:f>IF(F89&gt;$B$4,"Yes","No")</x:f>
        <x:v>Yes</x:v>
      </x:c>
      <x:c r="I89" s="23" t="str">
        <x:f>IF(AND(G89="Yes",H89="Yes"),"Top-right","Other")</x:f>
        <x:v>Other</x:v>
      </x:c>
    </x:row>
    <x:row r="90">
      <x:c r="A90" s="23" t="str">
        <x:v>Dibbert-Green</x:v>
      </x:c>
      <x:c r="B90" s="24" t="n">
        <x:v>56</x:v>
      </x:c>
      <x:c r="C90" s="24" t="n">
        <x:v>0</x:v>
      </x:c>
      <x:c r="D90" s="26" t="n">
        <x:v>0</x:v>
      </x:c>
      <x:c r="E90" s="24" t="n">
        <x:f>B90-C90</x:f>
        <x:v>56</x:v>
      </x:c>
      <x:c r="F90" s="25" t="n">
        <x:f>C90/B90</x:f>
        <x:v>0</x:v>
      </x:c>
      <x:c r="G90" s="23" t="str">
        <x:f>IF(B90&gt;$B$5,"Yes","No")</x:f>
        <x:v>No</x:v>
      </x:c>
      <x:c r="H90" s="23" t="str">
        <x:f>IF(F90&gt;$B$4,"Yes","No")</x:f>
        <x:v>No</x:v>
      </x:c>
      <x:c r="I90" s="23" t="str">
        <x:f>IF(AND(G90="Yes",H90="Yes"),"Top-right","Other")</x:f>
        <x:v>Other</x:v>
      </x:c>
    </x:row>
    <x:row r="91">
      <x:c r="A91" s="23" t="str">
        <x:v>Effertz LLC</x:v>
      </x:c>
      <x:c r="B91" s="24" t="n">
        <x:v>56</x:v>
      </x:c>
      <x:c r="C91" s="24" t="n">
        <x:v>0</x:v>
      </x:c>
      <x:c r="D91" s="26" t="n">
        <x:v>0</x:v>
      </x:c>
      <x:c r="E91" s="24" t="n">
        <x:f>B91-C91</x:f>
        <x:v>56</x:v>
      </x:c>
      <x:c r="F91" s="25" t="n">
        <x:f>C91/B91</x:f>
        <x:v>0</x:v>
      </x:c>
      <x:c r="G91" s="23" t="str">
        <x:f>IF(B91&gt;$B$5,"Yes","No")</x:f>
        <x:v>No</x:v>
      </x:c>
      <x:c r="H91" s="23" t="str">
        <x:f>IF(F91&gt;$B$4,"Yes","No")</x:f>
        <x:v>No</x:v>
      </x:c>
      <x:c r="I91" s="23" t="str">
        <x:f>IF(AND(G91="Yes",H91="Yes"),"Top-right","Other")</x:f>
        <x:v>Other</x:v>
      </x:c>
    </x:row>
    <x:row r="92">
      <x:c r="A92" s="23" t="str">
        <x:v>Flatley Group</x:v>
      </x:c>
      <x:c r="B92" s="24" t="n">
        <x:v>56</x:v>
      </x:c>
      <x:c r="C92" s="24" t="n">
        <x:v>1</x:v>
      </x:c>
      <x:c r="D92" s="26" t="n">
        <x:v>883.7</x:v>
      </x:c>
      <x:c r="E92" s="24" t="n">
        <x:f>B92-C92</x:f>
        <x:v>55</x:v>
      </x:c>
      <x:c r="F92" s="25" t="n">
        <x:f>C92/B92</x:f>
        <x:v>0.017857142857142856</x:v>
      </x:c>
      <x:c r="G92" s="23" t="str">
        <x:f>IF(B92&gt;$B$5,"Yes","No")</x:f>
        <x:v>No</x:v>
      </x:c>
      <x:c r="H92" s="23" t="str">
        <x:f>IF(F92&gt;$B$4,"Yes","No")</x:f>
        <x:v>Yes</x:v>
      </x:c>
      <x:c r="I92" s="23" t="str">
        <x:f>IF(AND(G92="Yes",H92="Yes"),"Top-right","Other")</x:f>
        <x:v>Other</x:v>
      </x:c>
    </x:row>
    <x:row r="93">
      <x:c r="A93" s="23" t="str">
        <x:v>Hamill-D'Amore</x:v>
      </x:c>
      <x:c r="B93" s="24" t="n">
        <x:v>56</x:v>
      </x:c>
      <x:c r="C93" s="24" t="n">
        <x:v>0</x:v>
      </x:c>
      <x:c r="D93" s="26" t="n">
        <x:v>0</x:v>
      </x:c>
      <x:c r="E93" s="24" t="n">
        <x:f>B93-C93</x:f>
        <x:v>56</x:v>
      </x:c>
      <x:c r="F93" s="25" t="n">
        <x:f>C93/B93</x:f>
        <x:v>0</x:v>
      </x:c>
      <x:c r="G93" s="23" t="str">
        <x:f>IF(B93&gt;$B$5,"Yes","No")</x:f>
        <x:v>No</x:v>
      </x:c>
      <x:c r="H93" s="23" t="str">
        <x:f>IF(F93&gt;$B$4,"Yes","No")</x:f>
        <x:v>No</x:v>
      </x:c>
      <x:c r="I93" s="23" t="str">
        <x:f>IF(AND(G93="Yes",H93="Yes"),"Top-right","Other")</x:f>
        <x:v>Other</x:v>
      </x:c>
    </x:row>
    <x:row r="94">
      <x:c r="A94" s="23" t="str">
        <x:v>Kozey-Boehm</x:v>
      </x:c>
      <x:c r="B94" s="24" t="n">
        <x:v>56</x:v>
      </x:c>
      <x:c r="C94" s="24" t="n">
        <x:v>0</x:v>
      </x:c>
      <x:c r="D94" s="26" t="n">
        <x:v>0</x:v>
      </x:c>
      <x:c r="E94" s="24" t="n">
        <x:f>B94-C94</x:f>
        <x:v>56</x:v>
      </x:c>
      <x:c r="F94" s="25" t="n">
        <x:f>C94/B94</x:f>
        <x:v>0</x:v>
      </x:c>
      <x:c r="G94" s="23" t="str">
        <x:f>IF(B94&gt;$B$5,"Yes","No")</x:f>
        <x:v>No</x:v>
      </x:c>
      <x:c r="H94" s="23" t="str">
        <x:f>IF(F94&gt;$B$4,"Yes","No")</x:f>
        <x:v>No</x:v>
      </x:c>
      <x:c r="I94" s="23" t="str">
        <x:f>IF(AND(G94="Yes",H94="Yes"),"Top-right","Other")</x:f>
        <x:v>Other</x:v>
      </x:c>
    </x:row>
    <x:row r="95">
      <x:c r="A95" s="23" t="str">
        <x:v>Lakin, Ferry and Beatty</x:v>
      </x:c>
      <x:c r="B95" s="24" t="n">
        <x:v>56</x:v>
      </x:c>
      <x:c r="C95" s="24" t="n">
        <x:v>0</x:v>
      </x:c>
      <x:c r="D95" s="26" t="n">
        <x:v>0</x:v>
      </x:c>
      <x:c r="E95" s="24" t="n">
        <x:f>B95-C95</x:f>
        <x:v>56</x:v>
      </x:c>
      <x:c r="F95" s="25" t="n">
        <x:f>C95/B95</x:f>
        <x:v>0</x:v>
      </x:c>
      <x:c r="G95" s="23" t="str">
        <x:f>IF(B95&gt;$B$5,"Yes","No")</x:f>
        <x:v>No</x:v>
      </x:c>
      <x:c r="H95" s="23" t="str">
        <x:f>IF(F95&gt;$B$4,"Yes","No")</x:f>
        <x:v>No</x:v>
      </x:c>
      <x:c r="I95" s="23" t="str">
        <x:f>IF(AND(G95="Yes",H95="Yes"),"Top-right","Other")</x:f>
        <x:v>Other</x:v>
      </x:c>
    </x:row>
    <x:row r="96">
      <x:c r="A96" s="23" t="str">
        <x:v>McCullough, Hudson and Schuster</x:v>
      </x:c>
      <x:c r="B96" s="24" t="n">
        <x:v>56</x:v>
      </x:c>
      <x:c r="C96" s="24" t="n">
        <x:v>0</x:v>
      </x:c>
      <x:c r="D96" s="26" t="n">
        <x:v>0</x:v>
      </x:c>
      <x:c r="E96" s="24" t="n">
        <x:f>B96-C96</x:f>
        <x:v>56</x:v>
      </x:c>
      <x:c r="F96" s="25" t="n">
        <x:f>C96/B96</x:f>
        <x:v>0</x:v>
      </x:c>
      <x:c r="G96" s="23" t="str">
        <x:f>IF(B96&gt;$B$5,"Yes","No")</x:f>
        <x:v>No</x:v>
      </x:c>
      <x:c r="H96" s="23" t="str">
        <x:f>IF(F96&gt;$B$4,"Yes","No")</x:f>
        <x:v>No</x:v>
      </x:c>
      <x:c r="I96" s="23" t="str">
        <x:f>IF(AND(G96="Yes",H96="Yes"),"Top-right","Other")</x:f>
        <x:v>Other</x:v>
      </x:c>
    </x:row>
    <x:row r="97">
      <x:c r="A97" s="23" t="str">
        <x:v>Mosciski, Ziemann and Farrell</x:v>
      </x:c>
      <x:c r="B97" s="24" t="n">
        <x:v>56</x:v>
      </x:c>
      <x:c r="C97" s="24" t="n">
        <x:v>1</x:v>
      </x:c>
      <x:c r="D97" s="26" t="n">
        <x:v>1058.87</x:v>
      </x:c>
      <x:c r="E97" s="24" t="n">
        <x:f>B97-C97</x:f>
        <x:v>55</x:v>
      </x:c>
      <x:c r="F97" s="25" t="n">
        <x:f>C97/B97</x:f>
        <x:v>0.017857142857142856</x:v>
      </x:c>
      <x:c r="G97" s="23" t="str">
        <x:f>IF(B97&gt;$B$5,"Yes","No")</x:f>
        <x:v>No</x:v>
      </x:c>
      <x:c r="H97" s="23" t="str">
        <x:f>IF(F97&gt;$B$4,"Yes","No")</x:f>
        <x:v>Yes</x:v>
      </x:c>
      <x:c r="I97" s="23" t="str">
        <x:f>IF(AND(G97="Yes",H97="Yes"),"Top-right","Other")</x:f>
        <x:v>Other</x:v>
      </x:c>
    </x:row>
    <x:row r="98">
      <x:c r="A98" s="23" t="str">
        <x:v>Nienow, Ankunding and Collier</x:v>
      </x:c>
      <x:c r="B98" s="24" t="n">
        <x:v>56</x:v>
      </x:c>
      <x:c r="C98" s="24" t="n">
        <x:v>1</x:v>
      </x:c>
      <x:c r="D98" s="26" t="n">
        <x:v>6.86</x:v>
      </x:c>
      <x:c r="E98" s="24" t="n">
        <x:f>B98-C98</x:f>
        <x:v>55</x:v>
      </x:c>
      <x:c r="F98" s="25" t="n">
        <x:f>C98/B98</x:f>
        <x:v>0.017857142857142856</x:v>
      </x:c>
      <x:c r="G98" s="23" t="str">
        <x:f>IF(B98&gt;$B$5,"Yes","No")</x:f>
        <x:v>No</x:v>
      </x:c>
      <x:c r="H98" s="23" t="str">
        <x:f>IF(F98&gt;$B$4,"Yes","No")</x:f>
        <x:v>Yes</x:v>
      </x:c>
      <x:c r="I98" s="23" t="str">
        <x:f>IF(AND(G98="Yes",H98="Yes"),"Top-right","Other")</x:f>
        <x:v>Other</x:v>
      </x:c>
    </x:row>
    <x:row r="99">
      <x:c r="A99" s="23" t="str">
        <x:v>Romaguera Ltd</x:v>
      </x:c>
      <x:c r="B99" s="24" t="n">
        <x:v>56</x:v>
      </x:c>
      <x:c r="C99" s="24" t="n">
        <x:v>0</x:v>
      </x:c>
      <x:c r="D99" s="26" t="n">
        <x:v>0</x:v>
      </x:c>
      <x:c r="E99" s="24" t="n">
        <x:f>B99-C99</x:f>
        <x:v>56</x:v>
      </x:c>
      <x:c r="F99" s="25" t="n">
        <x:f>C99/B99</x:f>
        <x:v>0</x:v>
      </x:c>
      <x:c r="G99" s="23" t="str">
        <x:f>IF(B99&gt;$B$5,"Yes","No")</x:f>
        <x:v>No</x:v>
      </x:c>
      <x:c r="H99" s="23" t="str">
        <x:f>IF(F99&gt;$B$4,"Yes","No")</x:f>
        <x:v>No</x:v>
      </x:c>
      <x:c r="I99" s="23" t="str">
        <x:f>IF(AND(G99="Yes",H99="Yes"),"Top-right","Other")</x:f>
        <x:v>Other</x:v>
      </x:c>
    </x:row>
    <x:row r="100">
      <x:c r="A100" s="23" t="str">
        <x:v>Smith-Stokes</x:v>
      </x:c>
      <x:c r="B100" s="24" t="n">
        <x:v>56</x:v>
      </x:c>
      <x:c r="C100" s="24" t="n">
        <x:v>0</x:v>
      </x:c>
      <x:c r="D100" s="26" t="n">
        <x:v>0</x:v>
      </x:c>
      <x:c r="E100" s="24" t="n">
        <x:f>B100-C100</x:f>
        <x:v>56</x:v>
      </x:c>
      <x:c r="F100" s="25" t="n">
        <x:f>C100/B100</x:f>
        <x:v>0</x:v>
      </x:c>
      <x:c r="G100" s="23" t="str">
        <x:f>IF(B100&gt;$B$5,"Yes","No")</x:f>
        <x:v>No</x:v>
      </x:c>
      <x:c r="H100" s="23" t="str">
        <x:f>IF(F100&gt;$B$4,"Yes","No")</x:f>
        <x:v>No</x:v>
      </x:c>
      <x:c r="I100" s="23" t="str">
        <x:f>IF(AND(G100="Yes",H100="Yes"),"Top-right","Other")</x:f>
        <x:v>Other</x:v>
      </x:c>
    </x:row>
    <x:row r="101">
      <x:c r="A101" s="23" t="str">
        <x:v>Volkman PLC</x:v>
      </x:c>
      <x:c r="B101" s="24" t="n">
        <x:v>56</x:v>
      </x:c>
      <x:c r="C101" s="24" t="n">
        <x:v>0</x:v>
      </x:c>
      <x:c r="D101" s="26" t="n">
        <x:v>0</x:v>
      </x:c>
      <x:c r="E101" s="24" t="n">
        <x:f>B101-C101</x:f>
        <x:v>56</x:v>
      </x:c>
      <x:c r="F101" s="25" t="n">
        <x:f>C101/B101</x:f>
        <x:v>0</x:v>
      </x:c>
      <x:c r="G101" s="23" t="str">
        <x:f>IF(B101&gt;$B$5,"Yes","No")</x:f>
        <x:v>No</x:v>
      </x:c>
      <x:c r="H101" s="23" t="str">
        <x:f>IF(F101&gt;$B$4,"Yes","No")</x:f>
        <x:v>No</x:v>
      </x:c>
      <x:c r="I101" s="23" t="str">
        <x:f>IF(AND(G101="Yes",H101="Yes"),"Top-right","Other")</x:f>
        <x:v>Other</x:v>
      </x:c>
    </x:row>
    <x:row r="102">
      <x:c r="A102" s="23" t="str">
        <x:v>Ziemann-Waters</x:v>
      </x:c>
      <x:c r="B102" s="24" t="n">
        <x:v>56</x:v>
      </x:c>
      <x:c r="C102" s="24" t="n">
        <x:v>0</x:v>
      </x:c>
      <x:c r="D102" s="26" t="n">
        <x:v>0</x:v>
      </x:c>
      <x:c r="E102" s="24" t="n">
        <x:f>B102-C102</x:f>
        <x:v>56</x:v>
      </x:c>
      <x:c r="F102" s="25" t="n">
        <x:f>C102/B102</x:f>
        <x:v>0</x:v>
      </x:c>
      <x:c r="G102" s="23" t="str">
        <x:f>IF(B102&gt;$B$5,"Yes","No")</x:f>
        <x:v>No</x:v>
      </x:c>
      <x:c r="H102" s="23" t="str">
        <x:f>IF(F102&gt;$B$4,"Yes","No")</x:f>
        <x:v>No</x:v>
      </x:c>
      <x:c r="I102" s="23" t="str">
        <x:f>IF(AND(G102="Yes",H102="Yes"),"Top-right","Other")</x:f>
        <x:v>Other</x:v>
      </x:c>
    </x:row>
    <x:row r="103">
      <x:c r="A103" s="23" t="str">
        <x:v>Emmerich-Rau</x:v>
      </x:c>
      <x:c r="B103" s="24" t="n">
        <x:v>57</x:v>
      </x:c>
      <x:c r="C103" s="24" t="n">
        <x:v>0</x:v>
      </x:c>
      <x:c r="D103" s="26" t="n">
        <x:v>0</x:v>
      </x:c>
      <x:c r="E103" s="24" t="n">
        <x:f>B103-C103</x:f>
        <x:v>57</x:v>
      </x:c>
      <x:c r="F103" s="25" t="n">
        <x:f>C103/B103</x:f>
        <x:v>0</x:v>
      </x:c>
      <x:c r="G103" s="23" t="str">
        <x:f>IF(B103&gt;$B$5,"Yes","No")</x:f>
        <x:v>No</x:v>
      </x:c>
      <x:c r="H103" s="23" t="str">
        <x:f>IF(F103&gt;$B$4,"Yes","No")</x:f>
        <x:v>No</x:v>
      </x:c>
      <x:c r="I103" s="23" t="str">
        <x:f>IF(AND(G103="Yes",H103="Yes"),"Top-right","Other")</x:f>
        <x:v>Other</x:v>
      </x:c>
    </x:row>
    <x:row r="104">
      <x:c r="A104" s="23" t="str">
        <x:v>Gottlieb-Hansen</x:v>
      </x:c>
      <x:c r="B104" s="24" t="n">
        <x:v>57</x:v>
      </x:c>
      <x:c r="C104" s="24" t="n">
        <x:v>0</x:v>
      </x:c>
      <x:c r="D104" s="26" t="n">
        <x:v>0</x:v>
      </x:c>
      <x:c r="E104" s="24" t="n">
        <x:f>B104-C104</x:f>
        <x:v>57</x:v>
      </x:c>
      <x:c r="F104" s="25" t="n">
        <x:f>C104/B104</x:f>
        <x:v>0</x:v>
      </x:c>
      <x:c r="G104" s="23" t="str">
        <x:f>IF(B104&gt;$B$5,"Yes","No")</x:f>
        <x:v>No</x:v>
      </x:c>
      <x:c r="H104" s="23" t="str">
        <x:f>IF(F104&gt;$B$4,"Yes","No")</x:f>
        <x:v>No</x:v>
      </x:c>
      <x:c r="I104" s="23" t="str">
        <x:f>IF(AND(G104="Yes",H104="Yes"),"Top-right","Other")</x:f>
        <x:v>Other</x:v>
      </x:c>
    </x:row>
    <x:row r="105">
      <x:c r="A105" s="23" t="str">
        <x:v>Haley Group</x:v>
      </x:c>
      <x:c r="B105" s="24" t="n">
        <x:v>57</x:v>
      </x:c>
      <x:c r="C105" s="24" t="n">
        <x:v>0</x:v>
      </x:c>
      <x:c r="D105" s="26" t="n">
        <x:v>0</x:v>
      </x:c>
      <x:c r="E105" s="24" t="n">
        <x:f>B105-C105</x:f>
        <x:v>57</x:v>
      </x:c>
      <x:c r="F105" s="25" t="n">
        <x:f>C105/B105</x:f>
        <x:v>0</x:v>
      </x:c>
      <x:c r="G105" s="23" t="str">
        <x:f>IF(B105&gt;$B$5,"Yes","No")</x:f>
        <x:v>No</x:v>
      </x:c>
      <x:c r="H105" s="23" t="str">
        <x:f>IF(F105&gt;$B$4,"Yes","No")</x:f>
        <x:v>No</x:v>
      </x:c>
      <x:c r="I105" s="23" t="str">
        <x:f>IF(AND(G105="Yes",H105="Yes"),"Top-right","Other")</x:f>
        <x:v>Other</x:v>
      </x:c>
    </x:row>
    <x:row r="106">
      <x:c r="A106" s="23" t="str">
        <x:v>Jakubowski Group</x:v>
      </x:c>
      <x:c r="B106" s="24" t="n">
        <x:v>57</x:v>
      </x:c>
      <x:c r="C106" s="24" t="n">
        <x:v>0</x:v>
      </x:c>
      <x:c r="D106" s="26" t="n">
        <x:v>0</x:v>
      </x:c>
      <x:c r="E106" s="24" t="n">
        <x:f>B106-C106</x:f>
        <x:v>57</x:v>
      </x:c>
      <x:c r="F106" s="25" t="n">
        <x:f>C106/B106</x:f>
        <x:v>0</x:v>
      </x:c>
      <x:c r="G106" s="23" t="str">
        <x:f>IF(B106&gt;$B$5,"Yes","No")</x:f>
        <x:v>No</x:v>
      </x:c>
      <x:c r="H106" s="23" t="str">
        <x:f>IF(F106&gt;$B$4,"Yes","No")</x:f>
        <x:v>No</x:v>
      </x:c>
      <x:c r="I106" s="23" t="str">
        <x:f>IF(AND(G106="Yes",H106="Yes"),"Top-right","Other")</x:f>
        <x:v>Other</x:v>
      </x:c>
    </x:row>
    <x:row r="107">
      <x:c r="A107" s="23" t="str">
        <x:v>Jast Ltd</x:v>
      </x:c>
      <x:c r="B107" s="24" t="n">
        <x:v>57</x:v>
      </x:c>
      <x:c r="C107" s="24" t="n">
        <x:v>3</x:v>
      </x:c>
      <x:c r="D107" s="26" t="n">
        <x:v>2891.54</x:v>
      </x:c>
      <x:c r="E107" s="24" t="n">
        <x:f>B107-C107</x:f>
        <x:v>54</x:v>
      </x:c>
      <x:c r="F107" s="25" t="n">
        <x:f>C107/B107</x:f>
        <x:v>0.05263157894736842</x:v>
      </x:c>
      <x:c r="G107" s="23" t="str">
        <x:f>IF(B107&gt;$B$5,"Yes","No")</x:f>
        <x:v>No</x:v>
      </x:c>
      <x:c r="H107" s="23" t="str">
        <x:f>IF(F107&gt;$B$4,"Yes","No")</x:f>
        <x:v>Yes</x:v>
      </x:c>
      <x:c r="I107" s="23" t="str">
        <x:f>IF(AND(G107="Yes",H107="Yes"),"Top-right","Other")</x:f>
        <x:v>Other</x:v>
      </x:c>
    </x:row>
    <x:row r="108">
      <x:c r="A108" s="23" t="str">
        <x:v>Johns-Hoeger</x:v>
      </x:c>
      <x:c r="B108" s="24" t="n">
        <x:v>57</x:v>
      </x:c>
      <x:c r="C108" s="24" t="n">
        <x:v>0</x:v>
      </x:c>
      <x:c r="D108" s="26" t="n">
        <x:v>0</x:v>
      </x:c>
      <x:c r="E108" s="24" t="n">
        <x:f>B108-C108</x:f>
        <x:v>57</x:v>
      </x:c>
      <x:c r="F108" s="25" t="n">
        <x:f>C108/B108</x:f>
        <x:v>0</x:v>
      </x:c>
      <x:c r="G108" s="23" t="str">
        <x:f>IF(B108&gt;$B$5,"Yes","No")</x:f>
        <x:v>No</x:v>
      </x:c>
      <x:c r="H108" s="23" t="str">
        <x:f>IF(F108&gt;$B$4,"Yes","No")</x:f>
        <x:v>No</x:v>
      </x:c>
      <x:c r="I108" s="23" t="str">
        <x:f>IF(AND(G108="Yes",H108="Yes"),"Top-right","Other")</x:f>
        <x:v>Other</x:v>
      </x:c>
    </x:row>
    <x:row r="109">
      <x:c r="A109" s="23" t="str">
        <x:v>Lesch, D'Amore and Brown</x:v>
      </x:c>
      <x:c r="B109" s="24" t="n">
        <x:v>57</x:v>
      </x:c>
      <x:c r="C109" s="24" t="n">
        <x:v>0</x:v>
      </x:c>
      <x:c r="D109" s="26" t="n">
        <x:v>0</x:v>
      </x:c>
      <x:c r="E109" s="24" t="n">
        <x:f>B109-C109</x:f>
        <x:v>57</x:v>
      </x:c>
      <x:c r="F109" s="25" t="n">
        <x:f>C109/B109</x:f>
        <x:v>0</x:v>
      </x:c>
      <x:c r="G109" s="23" t="str">
        <x:f>IF(B109&gt;$B$5,"Yes","No")</x:f>
        <x:v>No</x:v>
      </x:c>
      <x:c r="H109" s="23" t="str">
        <x:f>IF(F109&gt;$B$4,"Yes","No")</x:f>
        <x:v>No</x:v>
      </x:c>
      <x:c r="I109" s="23" t="str">
        <x:f>IF(AND(G109="Yes",H109="Yes"),"Top-right","Other")</x:f>
        <x:v>Other</x:v>
      </x:c>
    </x:row>
    <x:row r="110">
      <x:c r="A110" s="23" t="str">
        <x:v>Quitzon, Green and Bashirian</x:v>
      </x:c>
      <x:c r="B110" s="24" t="n">
        <x:v>57</x:v>
      </x:c>
      <x:c r="C110" s="24" t="n">
        <x:v>0</x:v>
      </x:c>
      <x:c r="D110" s="26" t="n">
        <x:v>0</x:v>
      </x:c>
      <x:c r="E110" s="24" t="n">
        <x:f>B110-C110</x:f>
        <x:v>57</x:v>
      </x:c>
      <x:c r="F110" s="25" t="n">
        <x:f>C110/B110</x:f>
        <x:v>0</x:v>
      </x:c>
      <x:c r="G110" s="23" t="str">
        <x:f>IF(B110&gt;$B$5,"Yes","No")</x:f>
        <x:v>No</x:v>
      </x:c>
      <x:c r="H110" s="23" t="str">
        <x:f>IF(F110&gt;$B$4,"Yes","No")</x:f>
        <x:v>No</x:v>
      </x:c>
      <x:c r="I110" s="23" t="str">
        <x:f>IF(AND(G110="Yes",H110="Yes"),"Top-right","Other")</x:f>
        <x:v>Other</x:v>
      </x:c>
    </x:row>
    <x:row r="111">
      <x:c r="A111" s="23" t="str">
        <x:v>Reichert, Huels and Hoppe</x:v>
      </x:c>
      <x:c r="B111" s="24" t="n">
        <x:v>57</x:v>
      </x:c>
      <x:c r="C111" s="24" t="n">
        <x:v>1</x:v>
      </x:c>
      <x:c r="D111" s="26" t="n">
        <x:v>961.51</x:v>
      </x:c>
      <x:c r="E111" s="24" t="n">
        <x:f>B111-C111</x:f>
        <x:v>56</x:v>
      </x:c>
      <x:c r="F111" s="25" t="n">
        <x:f>C111/B111</x:f>
        <x:v>0.017543859649122806</x:v>
      </x:c>
      <x:c r="G111" s="23" t="str">
        <x:f>IF(B111&gt;$B$5,"Yes","No")</x:f>
        <x:v>No</x:v>
      </x:c>
      <x:c r="H111" s="23" t="str">
        <x:f>IF(F111&gt;$B$4,"Yes","No")</x:f>
        <x:v>Yes</x:v>
      </x:c>
      <x:c r="I111" s="23" t="str">
        <x:f>IF(AND(G111="Yes",H111="Yes"),"Top-right","Other")</x:f>
        <x:v>Other</x:v>
      </x:c>
    </x:row>
    <x:row r="112">
      <x:c r="A112" s="23" t="str">
        <x:v>Reinger, Weissnat and Strosin</x:v>
      </x:c>
      <x:c r="B112" s="24" t="n">
        <x:v>57</x:v>
      </x:c>
      <x:c r="C112" s="24" t="n">
        <x:v>0</x:v>
      </x:c>
      <x:c r="D112" s="26" t="n">
        <x:v>0</x:v>
      </x:c>
      <x:c r="E112" s="24" t="n">
        <x:f>B112-C112</x:f>
        <x:v>57</x:v>
      </x:c>
      <x:c r="F112" s="25" t="n">
        <x:f>C112/B112</x:f>
        <x:v>0</x:v>
      </x:c>
      <x:c r="G112" s="23" t="str">
        <x:f>IF(B112&gt;$B$5,"Yes","No")</x:f>
        <x:v>No</x:v>
      </x:c>
      <x:c r="H112" s="23" t="str">
        <x:f>IF(F112&gt;$B$4,"Yes","No")</x:f>
        <x:v>No</x:v>
      </x:c>
      <x:c r="I112" s="23" t="str">
        <x:f>IF(AND(G112="Yes",H112="Yes"),"Top-right","Other")</x:f>
        <x:v>Other</x:v>
      </x:c>
    </x:row>
    <x:row r="113">
      <x:c r="A113" s="23" t="str">
        <x:v>Runolfsdottir, Mueller and Hand</x:v>
      </x:c>
      <x:c r="B113" s="24" t="n">
        <x:v>57</x:v>
      </x:c>
      <x:c r="C113" s="24" t="n">
        <x:v>0</x:v>
      </x:c>
      <x:c r="D113" s="26" t="n">
        <x:v>0</x:v>
      </x:c>
      <x:c r="E113" s="24" t="n">
        <x:f>B113-C113</x:f>
        <x:v>57</x:v>
      </x:c>
      <x:c r="F113" s="25" t="n">
        <x:f>C113/B113</x:f>
        <x:v>0</x:v>
      </x:c>
      <x:c r="G113" s="23" t="str">
        <x:f>IF(B113&gt;$B$5,"Yes","No")</x:f>
        <x:v>No</x:v>
      </x:c>
      <x:c r="H113" s="23" t="str">
        <x:f>IF(F113&gt;$B$4,"Yes","No")</x:f>
        <x:v>No</x:v>
      </x:c>
      <x:c r="I113" s="23" t="str">
        <x:f>IF(AND(G113="Yes",H113="Yes"),"Top-right","Other")</x:f>
        <x:v>Other</x:v>
      </x:c>
    </x:row>
    <x:row r="114">
      <x:c r="A114" s="23" t="str">
        <x:v>Schoen-Quigley</x:v>
      </x:c>
      <x:c r="B114" s="24" t="n">
        <x:v>57</x:v>
      </x:c>
      <x:c r="C114" s="24" t="n">
        <x:v>0</x:v>
      </x:c>
      <x:c r="D114" s="26" t="n">
        <x:v>0</x:v>
      </x:c>
      <x:c r="E114" s="24" t="n">
        <x:f>B114-C114</x:f>
        <x:v>57</x:v>
      </x:c>
      <x:c r="F114" s="25" t="n">
        <x:f>C114/B114</x:f>
        <x:v>0</x:v>
      </x:c>
      <x:c r="G114" s="23" t="str">
        <x:f>IF(B114&gt;$B$5,"Yes","No")</x:f>
        <x:v>No</x:v>
      </x:c>
      <x:c r="H114" s="23" t="str">
        <x:f>IF(F114&gt;$B$4,"Yes","No")</x:f>
        <x:v>No</x:v>
      </x:c>
      <x:c r="I114" s="23" t="str">
        <x:f>IF(AND(G114="Yes",H114="Yes"),"Top-right","Other")</x:f>
        <x:v>Other</x:v>
      </x:c>
    </x:row>
    <x:row r="115">
      <x:c r="A115" s="23" t="str">
        <x:v>Torp, Muller and Borer</x:v>
      </x:c>
      <x:c r="B115" s="24" t="n">
        <x:v>57</x:v>
      </x:c>
      <x:c r="C115" s="24" t="n">
        <x:v>0</x:v>
      </x:c>
      <x:c r="D115" s="26" t="n">
        <x:v>0</x:v>
      </x:c>
      <x:c r="E115" s="24" t="n">
        <x:f>B115-C115</x:f>
        <x:v>57</x:v>
      </x:c>
      <x:c r="F115" s="25" t="n">
        <x:f>C115/B115</x:f>
        <x:v>0</x:v>
      </x:c>
      <x:c r="G115" s="23" t="str">
        <x:f>IF(B115&gt;$B$5,"Yes","No")</x:f>
        <x:v>No</x:v>
      </x:c>
      <x:c r="H115" s="23" t="str">
        <x:f>IF(F115&gt;$B$4,"Yes","No")</x:f>
        <x:v>No</x:v>
      </x:c>
      <x:c r="I115" s="23" t="str">
        <x:f>IF(AND(G115="Yes",H115="Yes"),"Top-right","Other")</x:f>
        <x:v>Other</x:v>
      </x:c>
    </x:row>
    <x:row r="116">
      <x:c r="A116" s="23" t="str">
        <x:v>Bauch-Blanda</x:v>
      </x:c>
      <x:c r="B116" s="24" t="n">
        <x:v>58</x:v>
      </x:c>
      <x:c r="C116" s="24" t="n">
        <x:v>0</x:v>
      </x:c>
      <x:c r="D116" s="26" t="n">
        <x:v>0</x:v>
      </x:c>
      <x:c r="E116" s="24" t="n">
        <x:f>B116-C116</x:f>
        <x:v>58</x:v>
      </x:c>
      <x:c r="F116" s="25" t="n">
        <x:f>C116/B116</x:f>
        <x:v>0</x:v>
      </x:c>
      <x:c r="G116" s="23" t="str">
        <x:f>IF(B116&gt;$B$5,"Yes","No")</x:f>
        <x:v>No</x:v>
      </x:c>
      <x:c r="H116" s="23" t="str">
        <x:f>IF(F116&gt;$B$4,"Yes","No")</x:f>
        <x:v>No</x:v>
      </x:c>
      <x:c r="I116" s="23" t="str">
        <x:f>IF(AND(G116="Yes",H116="Yes"),"Top-right","Other")</x:f>
        <x:v>Other</x:v>
      </x:c>
    </x:row>
    <x:row r="117">
      <x:c r="A117" s="23" t="str">
        <x:v>Fritsch and Sons</x:v>
      </x:c>
      <x:c r="B117" s="24" t="n">
        <x:v>58</x:v>
      </x:c>
      <x:c r="C117" s="24" t="n">
        <x:v>0</x:v>
      </x:c>
      <x:c r="D117" s="26" t="n">
        <x:v>0</x:v>
      </x:c>
      <x:c r="E117" s="24" t="n">
        <x:f>B117-C117</x:f>
        <x:v>58</x:v>
      </x:c>
      <x:c r="F117" s="25" t="n">
        <x:f>C117/B117</x:f>
        <x:v>0</x:v>
      </x:c>
      <x:c r="G117" s="23" t="str">
        <x:f>IF(B117&gt;$B$5,"Yes","No")</x:f>
        <x:v>No</x:v>
      </x:c>
      <x:c r="H117" s="23" t="str">
        <x:f>IF(F117&gt;$B$4,"Yes","No")</x:f>
        <x:v>No</x:v>
      </x:c>
      <x:c r="I117" s="23" t="str">
        <x:f>IF(AND(G117="Yes",H117="Yes"),"Top-right","Other")</x:f>
        <x:v>Other</x:v>
      </x:c>
    </x:row>
    <x:row r="118">
      <x:c r="A118" s="23" t="str">
        <x:v>Gottlieb, Considine and Schultz</x:v>
      </x:c>
      <x:c r="B118" s="24" t="n">
        <x:v>58</x:v>
      </x:c>
      <x:c r="C118" s="24" t="n">
        <x:v>0</x:v>
      </x:c>
      <x:c r="D118" s="26" t="n">
        <x:v>0</x:v>
      </x:c>
      <x:c r="E118" s="24" t="n">
        <x:f>B118-C118</x:f>
        <x:v>58</x:v>
      </x:c>
      <x:c r="F118" s="25" t="n">
        <x:f>C118/B118</x:f>
        <x:v>0</x:v>
      </x:c>
      <x:c r="G118" s="23" t="str">
        <x:f>IF(B118&gt;$B$5,"Yes","No")</x:f>
        <x:v>No</x:v>
      </x:c>
      <x:c r="H118" s="23" t="str">
        <x:f>IF(F118&gt;$B$4,"Yes","No")</x:f>
        <x:v>No</x:v>
      </x:c>
      <x:c r="I118" s="23" t="str">
        <x:f>IF(AND(G118="Yes",H118="Yes"),"Top-right","Other")</x:f>
        <x:v>Other</x:v>
      </x:c>
    </x:row>
    <x:row r="119">
      <x:c r="A119" s="23" t="str">
        <x:v>Harris Group</x:v>
      </x:c>
      <x:c r="B119" s="24" t="n">
        <x:v>58</x:v>
      </x:c>
      <x:c r="C119" s="24" t="n">
        <x:v>0</x:v>
      </x:c>
      <x:c r="D119" s="26" t="n">
        <x:v>0</x:v>
      </x:c>
      <x:c r="E119" s="24" t="n">
        <x:f>B119-C119</x:f>
        <x:v>58</x:v>
      </x:c>
      <x:c r="F119" s="25" t="n">
        <x:f>C119/B119</x:f>
        <x:v>0</x:v>
      </x:c>
      <x:c r="G119" s="23" t="str">
        <x:f>IF(B119&gt;$B$5,"Yes","No")</x:f>
        <x:v>No</x:v>
      </x:c>
      <x:c r="H119" s="23" t="str">
        <x:f>IF(F119&gt;$B$4,"Yes","No")</x:f>
        <x:v>No</x:v>
      </x:c>
      <x:c r="I119" s="23" t="str">
        <x:f>IF(AND(G119="Yes",H119="Yes"),"Top-right","Other")</x:f>
        <x:v>Other</x:v>
      </x:c>
    </x:row>
    <x:row r="120">
      <x:c r="A120" s="23" t="str">
        <x:v>Jacobi Inc</x:v>
      </x:c>
      <x:c r="B120" s="24" t="n">
        <x:v>58</x:v>
      </x:c>
      <x:c r="C120" s="24" t="n">
        <x:v>0</x:v>
      </x:c>
      <x:c r="D120" s="26" t="n">
        <x:v>0</x:v>
      </x:c>
      <x:c r="E120" s="24" t="n">
        <x:f>B120-C120</x:f>
        <x:v>58</x:v>
      </x:c>
      <x:c r="F120" s="25" t="n">
        <x:f>C120/B120</x:f>
        <x:v>0</x:v>
      </x:c>
      <x:c r="G120" s="23" t="str">
        <x:f>IF(B120&gt;$B$5,"Yes","No")</x:f>
        <x:v>No</x:v>
      </x:c>
      <x:c r="H120" s="23" t="str">
        <x:f>IF(F120&gt;$B$4,"Yes","No")</x:f>
        <x:v>No</x:v>
      </x:c>
      <x:c r="I120" s="23" t="str">
        <x:f>IF(AND(G120="Yes",H120="Yes"),"Top-right","Other")</x:f>
        <x:v>Other</x:v>
      </x:c>
    </x:row>
    <x:row r="121">
      <x:c r="A121" s="23" t="str">
        <x:v>Moen, Reinger and Murphy</x:v>
      </x:c>
      <x:c r="B121" s="24" t="n">
        <x:v>58</x:v>
      </x:c>
      <x:c r="C121" s="24" t="n">
        <x:v>0</x:v>
      </x:c>
      <x:c r="D121" s="26" t="n">
        <x:v>0</x:v>
      </x:c>
      <x:c r="E121" s="24" t="n">
        <x:f>B121-C121</x:f>
        <x:v>58</x:v>
      </x:c>
      <x:c r="F121" s="25" t="n">
        <x:f>C121/B121</x:f>
        <x:v>0</x:v>
      </x:c>
      <x:c r="G121" s="23" t="str">
        <x:f>IF(B121&gt;$B$5,"Yes","No")</x:f>
        <x:v>No</x:v>
      </x:c>
      <x:c r="H121" s="23" t="str">
        <x:f>IF(F121&gt;$B$4,"Yes","No")</x:f>
        <x:v>No</x:v>
      </x:c>
      <x:c r="I121" s="23" t="str">
        <x:f>IF(AND(G121="Yes",H121="Yes"),"Top-right","Other")</x:f>
        <x:v>Other</x:v>
      </x:c>
    </x:row>
    <x:row r="122">
      <x:c r="A122" s="23" t="str">
        <x:v>Mohr Inc</x:v>
      </x:c>
      <x:c r="B122" s="24" t="n">
        <x:v>58</x:v>
      </x:c>
      <x:c r="C122" s="24" t="n">
        <x:v>0</x:v>
      </x:c>
      <x:c r="D122" s="26" t="n">
        <x:v>0</x:v>
      </x:c>
      <x:c r="E122" s="24" t="n">
        <x:f>B122-C122</x:f>
        <x:v>58</x:v>
      </x:c>
      <x:c r="F122" s="25" t="n">
        <x:f>C122/B122</x:f>
        <x:v>0</x:v>
      </x:c>
      <x:c r="G122" s="23" t="str">
        <x:f>IF(B122&gt;$B$5,"Yes","No")</x:f>
        <x:v>No</x:v>
      </x:c>
      <x:c r="H122" s="23" t="str">
        <x:f>IF(F122&gt;$B$4,"Yes","No")</x:f>
        <x:v>No</x:v>
      </x:c>
      <x:c r="I122" s="23" t="str">
        <x:f>IF(AND(G122="Yes",H122="Yes"),"Top-right","Other")</x:f>
        <x:v>Other</x:v>
      </x:c>
    </x:row>
    <x:row r="123">
      <x:c r="A123" s="23" t="str">
        <x:v>Osinski Inc</x:v>
      </x:c>
      <x:c r="B123" s="24" t="n">
        <x:v>58</x:v>
      </x:c>
      <x:c r="C123" s="24" t="n">
        <x:v>0</x:v>
      </x:c>
      <x:c r="D123" s="26" t="n">
        <x:v>0</x:v>
      </x:c>
      <x:c r="E123" s="24" t="n">
        <x:f>B123-C123</x:f>
        <x:v>58</x:v>
      </x:c>
      <x:c r="F123" s="25" t="n">
        <x:f>C123/B123</x:f>
        <x:v>0</x:v>
      </x:c>
      <x:c r="G123" s="23" t="str">
        <x:f>IF(B123&gt;$B$5,"Yes","No")</x:f>
        <x:v>No</x:v>
      </x:c>
      <x:c r="H123" s="23" t="str">
        <x:f>IF(F123&gt;$B$4,"Yes","No")</x:f>
        <x:v>No</x:v>
      </x:c>
      <x:c r="I123" s="23" t="str">
        <x:f>IF(AND(G123="Yes",H123="Yes"),"Top-right","Other")</x:f>
        <x:v>Other</x:v>
      </x:c>
    </x:row>
    <x:row r="124">
      <x:c r="A124" s="23" t="str">
        <x:v>Ratke and Sons</x:v>
      </x:c>
      <x:c r="B124" s="24" t="n">
        <x:v>58</x:v>
      </x:c>
      <x:c r="C124" s="24" t="n">
        <x:v>1</x:v>
      </x:c>
      <x:c r="D124" s="26" t="n">
        <x:v>23.12</x:v>
      </x:c>
      <x:c r="E124" s="24" t="n">
        <x:f>B124-C124</x:f>
        <x:v>57</x:v>
      </x:c>
      <x:c r="F124" s="25" t="n">
        <x:f>C124/B124</x:f>
        <x:v>0.017241379310344827</x:v>
      </x:c>
      <x:c r="G124" s="23" t="str">
        <x:f>IF(B124&gt;$B$5,"Yes","No")</x:f>
        <x:v>No</x:v>
      </x:c>
      <x:c r="H124" s="23" t="str">
        <x:f>IF(F124&gt;$B$4,"Yes","No")</x:f>
        <x:v>Yes</x:v>
      </x:c>
      <x:c r="I124" s="23" t="str">
        <x:f>IF(AND(G124="Yes",H124="Yes"),"Top-right","Other")</x:f>
        <x:v>Other</x:v>
      </x:c>
    </x:row>
    <x:row r="125">
      <x:c r="A125" s="23" t="str">
        <x:v>Simonis-Prohaska</x:v>
      </x:c>
      <x:c r="B125" s="24" t="n">
        <x:v>58</x:v>
      </x:c>
      <x:c r="C125" s="24" t="n">
        <x:v>0</x:v>
      </x:c>
      <x:c r="D125" s="26" t="n">
        <x:v>0</x:v>
      </x:c>
      <x:c r="E125" s="24" t="n">
        <x:f>B125-C125</x:f>
        <x:v>58</x:v>
      </x:c>
      <x:c r="F125" s="25" t="n">
        <x:f>C125/B125</x:f>
        <x:v>0</x:v>
      </x:c>
      <x:c r="G125" s="23" t="str">
        <x:f>IF(B125&gt;$B$5,"Yes","No")</x:f>
        <x:v>No</x:v>
      </x:c>
      <x:c r="H125" s="23" t="str">
        <x:f>IF(F125&gt;$B$4,"Yes","No")</x:f>
        <x:v>No</x:v>
      </x:c>
      <x:c r="I125" s="23" t="str">
        <x:f>IF(AND(G125="Yes",H125="Yes"),"Top-right","Other")</x:f>
        <x:v>Other</x:v>
      </x:c>
    </x:row>
    <x:row r="126">
      <x:c r="A126" s="23" t="str">
        <x:v>Stiedemann Inc</x:v>
      </x:c>
      <x:c r="B126" s="24" t="n">
        <x:v>58</x:v>
      </x:c>
      <x:c r="C126" s="24" t="n">
        <x:v>0</x:v>
      </x:c>
      <x:c r="D126" s="26" t="n">
        <x:v>0</x:v>
      </x:c>
      <x:c r="E126" s="24" t="n">
        <x:f>B126-C126</x:f>
        <x:v>58</x:v>
      </x:c>
      <x:c r="F126" s="25" t="n">
        <x:f>C126/B126</x:f>
        <x:v>0</x:v>
      </x:c>
      <x:c r="G126" s="23" t="str">
        <x:f>IF(B126&gt;$B$5,"Yes","No")</x:f>
        <x:v>No</x:v>
      </x:c>
      <x:c r="H126" s="23" t="str">
        <x:f>IF(F126&gt;$B$4,"Yes","No")</x:f>
        <x:v>No</x:v>
      </x:c>
      <x:c r="I126" s="23" t="str">
        <x:f>IF(AND(G126="Yes",H126="Yes"),"Top-right","Other")</x:f>
        <x:v>Other</x:v>
      </x:c>
    </x:row>
    <x:row r="127">
      <x:c r="A127" s="23" t="str">
        <x:v>Turner, Ziemann and Lehner</x:v>
      </x:c>
      <x:c r="B127" s="24" t="n">
        <x:v>58</x:v>
      </x:c>
      <x:c r="C127" s="24" t="n">
        <x:v>0</x:v>
      </x:c>
      <x:c r="D127" s="26" t="n">
        <x:v>0</x:v>
      </x:c>
      <x:c r="E127" s="24" t="n">
        <x:f>B127-C127</x:f>
        <x:v>58</x:v>
      </x:c>
      <x:c r="F127" s="25" t="n">
        <x:f>C127/B127</x:f>
        <x:v>0</x:v>
      </x:c>
      <x:c r="G127" s="23" t="str">
        <x:f>IF(B127&gt;$B$5,"Yes","No")</x:f>
        <x:v>No</x:v>
      </x:c>
      <x:c r="H127" s="23" t="str">
        <x:f>IF(F127&gt;$B$4,"Yes","No")</x:f>
        <x:v>No</x:v>
      </x:c>
      <x:c r="I127" s="23" t="str">
        <x:f>IF(AND(G127="Yes",H127="Yes"),"Top-right","Other")</x:f>
        <x:v>Other</x:v>
      </x:c>
    </x:row>
    <x:row r="128">
      <x:c r="A128" s="23" t="str">
        <x:v>Welch, Rath and Koepp</x:v>
      </x:c>
      <x:c r="B128" s="24" t="n">
        <x:v>58</x:v>
      </x:c>
      <x:c r="C128" s="24" t="n">
        <x:v>1</x:v>
      </x:c>
      <x:c r="D128" s="26" t="n">
        <x:v>377.14</x:v>
      </x:c>
      <x:c r="E128" s="24" t="n">
        <x:f>B128-C128</x:f>
        <x:v>57</x:v>
      </x:c>
      <x:c r="F128" s="25" t="n">
        <x:f>C128/B128</x:f>
        <x:v>0.017241379310344827</x:v>
      </x:c>
      <x:c r="G128" s="23" t="str">
        <x:f>IF(B128&gt;$B$5,"Yes","No")</x:f>
        <x:v>No</x:v>
      </x:c>
      <x:c r="H128" s="23" t="str">
        <x:f>IF(F128&gt;$B$4,"Yes","No")</x:f>
        <x:v>Yes</x:v>
      </x:c>
      <x:c r="I128" s="23" t="str">
        <x:f>IF(AND(G128="Yes",H128="Yes"),"Top-right","Other")</x:f>
        <x:v>Other</x:v>
      </x:c>
    </x:row>
    <x:row r="129">
      <x:c r="A129" s="23" t="str">
        <x:v>Berge-Hills</x:v>
      </x:c>
      <x:c r="B129" s="24" t="n">
        <x:v>59</x:v>
      </x:c>
      <x:c r="C129" s="24" t="n">
        <x:v>0</x:v>
      </x:c>
      <x:c r="D129" s="26" t="n">
        <x:v>0</x:v>
      </x:c>
      <x:c r="E129" s="24" t="n">
        <x:f>B129-C129</x:f>
        <x:v>59</x:v>
      </x:c>
      <x:c r="F129" s="25" t="n">
        <x:f>C129/B129</x:f>
        <x:v>0</x:v>
      </x:c>
      <x:c r="G129" s="23" t="str">
        <x:f>IF(B129&gt;$B$5,"Yes","No")</x:f>
        <x:v>No</x:v>
      </x:c>
      <x:c r="H129" s="23" t="str">
        <x:f>IF(F129&gt;$B$4,"Yes","No")</x:f>
        <x:v>No</x:v>
      </x:c>
      <x:c r="I129" s="23" t="str">
        <x:f>IF(AND(G129="Yes",H129="Yes"),"Top-right","Other")</x:f>
        <x:v>Other</x:v>
      </x:c>
    </x:row>
    <x:row r="130">
      <x:c r="A130" s="23" t="str">
        <x:v>Bins-Tillman</x:v>
      </x:c>
      <x:c r="B130" s="24" t="n">
        <x:v>59</x:v>
      </x:c>
      <x:c r="C130" s="24" t="n">
        <x:v>0</x:v>
      </x:c>
      <x:c r="D130" s="26" t="n">
        <x:v>0</x:v>
      </x:c>
      <x:c r="E130" s="24" t="n">
        <x:f>B130-C130</x:f>
        <x:v>59</x:v>
      </x:c>
      <x:c r="F130" s="25" t="n">
        <x:f>C130/B130</x:f>
        <x:v>0</x:v>
      </x:c>
      <x:c r="G130" s="23" t="str">
        <x:f>IF(B130&gt;$B$5,"Yes","No")</x:f>
        <x:v>No</x:v>
      </x:c>
      <x:c r="H130" s="23" t="str">
        <x:f>IF(F130&gt;$B$4,"Yes","No")</x:f>
        <x:v>No</x:v>
      </x:c>
      <x:c r="I130" s="23" t="str">
        <x:f>IF(AND(G130="Yes",H130="Yes"),"Top-right","Other")</x:f>
        <x:v>Other</x:v>
      </x:c>
    </x:row>
    <x:row r="131">
      <x:c r="A131" s="23" t="str">
        <x:v>Cormier, Stracke and Thiel</x:v>
      </x:c>
      <x:c r="B131" s="24" t="n">
        <x:v>59</x:v>
      </x:c>
      <x:c r="C131" s="24" t="n">
        <x:v>0</x:v>
      </x:c>
      <x:c r="D131" s="26" t="n">
        <x:v>0</x:v>
      </x:c>
      <x:c r="E131" s="24" t="n">
        <x:f>B131-C131</x:f>
        <x:v>59</x:v>
      </x:c>
      <x:c r="F131" s="25" t="n">
        <x:f>C131/B131</x:f>
        <x:v>0</x:v>
      </x:c>
      <x:c r="G131" s="23" t="str">
        <x:f>IF(B131&gt;$B$5,"Yes","No")</x:f>
        <x:v>No</x:v>
      </x:c>
      <x:c r="H131" s="23" t="str">
        <x:f>IF(F131&gt;$B$4,"Yes","No")</x:f>
        <x:v>No</x:v>
      </x:c>
      <x:c r="I131" s="23" t="str">
        <x:f>IF(AND(G131="Yes",H131="Yes"),"Top-right","Other")</x:f>
        <x:v>Other</x:v>
      </x:c>
    </x:row>
    <x:row r="132">
      <x:c r="A132" s="23" t="str">
        <x:v>Erdman-Ebert</x:v>
      </x:c>
      <x:c r="B132" s="24" t="n">
        <x:v>59</x:v>
      </x:c>
      <x:c r="C132" s="24" t="n">
        <x:v>0</x:v>
      </x:c>
      <x:c r="D132" s="26" t="n">
        <x:v>0</x:v>
      </x:c>
      <x:c r="E132" s="24" t="n">
        <x:f>B132-C132</x:f>
        <x:v>59</x:v>
      </x:c>
      <x:c r="F132" s="25" t="n">
        <x:f>C132/B132</x:f>
        <x:v>0</x:v>
      </x:c>
      <x:c r="G132" s="23" t="str">
        <x:f>IF(B132&gt;$B$5,"Yes","No")</x:f>
        <x:v>No</x:v>
      </x:c>
      <x:c r="H132" s="23" t="str">
        <x:f>IF(F132&gt;$B$4,"Yes","No")</x:f>
        <x:v>No</x:v>
      </x:c>
      <x:c r="I132" s="23" t="str">
        <x:f>IF(AND(G132="Yes",H132="Yes"),"Top-right","Other")</x:f>
        <x:v>Other</x:v>
      </x:c>
    </x:row>
    <x:row r="133">
      <x:c r="A133" s="23" t="str">
        <x:v>Frami Group</x:v>
      </x:c>
      <x:c r="B133" s="24" t="n">
        <x:v>59</x:v>
      </x:c>
      <x:c r="C133" s="24" t="n">
        <x:v>0</x:v>
      </x:c>
      <x:c r="D133" s="26" t="n">
        <x:v>0</x:v>
      </x:c>
      <x:c r="E133" s="24" t="n">
        <x:f>B133-C133</x:f>
        <x:v>59</x:v>
      </x:c>
      <x:c r="F133" s="25" t="n">
        <x:f>C133/B133</x:f>
        <x:v>0</x:v>
      </x:c>
      <x:c r="G133" s="23" t="str">
        <x:f>IF(B133&gt;$B$5,"Yes","No")</x:f>
        <x:v>No</x:v>
      </x:c>
      <x:c r="H133" s="23" t="str">
        <x:f>IF(F133&gt;$B$4,"Yes","No")</x:f>
        <x:v>No</x:v>
      </x:c>
      <x:c r="I133" s="23" t="str">
        <x:f>IF(AND(G133="Yes",H133="Yes"),"Top-right","Other")</x:f>
        <x:v>Other</x:v>
      </x:c>
    </x:row>
    <x:row r="134">
      <x:c r="A134" s="23" t="str">
        <x:v>Greenholt, O'Hara and Balistreri</x:v>
      </x:c>
      <x:c r="B134" s="24" t="n">
        <x:v>59</x:v>
      </x:c>
      <x:c r="C134" s="24" t="n">
        <x:v>1</x:v>
      </x:c>
      <x:c r="D134" s="26" t="n">
        <x:v>837.87</x:v>
      </x:c>
      <x:c r="E134" s="24" t="n">
        <x:f>B134-C134</x:f>
        <x:v>58</x:v>
      </x:c>
      <x:c r="F134" s="25" t="n">
        <x:f>C134/B134</x:f>
        <x:v>0.01694915254237288</x:v>
      </x:c>
      <x:c r="G134" s="23" t="str">
        <x:f>IF(B134&gt;$B$5,"Yes","No")</x:f>
        <x:v>No</x:v>
      </x:c>
      <x:c r="H134" s="23" t="str">
        <x:f>IF(F134&gt;$B$4,"Yes","No")</x:f>
        <x:v>Yes</x:v>
      </x:c>
      <x:c r="I134" s="23" t="str">
        <x:f>IF(AND(G134="Yes",H134="Yes"),"Top-right","Other")</x:f>
        <x:v>Other</x:v>
      </x:c>
    </x:row>
    <x:row r="135">
      <x:c r="A135" s="23" t="str">
        <x:v>Hauck, Dietrich and Funk</x:v>
      </x:c>
      <x:c r="B135" s="24" t="n">
        <x:v>59</x:v>
      </x:c>
      <x:c r="C135" s="24" t="n">
        <x:v>0</x:v>
      </x:c>
      <x:c r="D135" s="26" t="n">
        <x:v>0</x:v>
      </x:c>
      <x:c r="E135" s="24" t="n">
        <x:f>B135-C135</x:f>
        <x:v>59</x:v>
      </x:c>
      <x:c r="F135" s="25" t="n">
        <x:f>C135/B135</x:f>
        <x:v>0</x:v>
      </x:c>
      <x:c r="G135" s="23" t="str">
        <x:f>IF(B135&gt;$B$5,"Yes","No")</x:f>
        <x:v>No</x:v>
      </x:c>
      <x:c r="H135" s="23" t="str">
        <x:f>IF(F135&gt;$B$4,"Yes","No")</x:f>
        <x:v>No</x:v>
      </x:c>
      <x:c r="I135" s="23" t="str">
        <x:f>IF(AND(G135="Yes",H135="Yes"),"Top-right","Other")</x:f>
        <x:v>Other</x:v>
      </x:c>
    </x:row>
    <x:row r="136">
      <x:c r="A136" s="23" t="str">
        <x:v>Koss, McLaughlin and Mayer</x:v>
      </x:c>
      <x:c r="B136" s="24" t="n">
        <x:v>59</x:v>
      </x:c>
      <x:c r="C136" s="24" t="n">
        <x:v>0</x:v>
      </x:c>
      <x:c r="D136" s="26" t="n">
        <x:v>0</x:v>
      </x:c>
      <x:c r="E136" s="24" t="n">
        <x:f>B136-C136</x:f>
        <x:v>59</x:v>
      </x:c>
      <x:c r="F136" s="25" t="n">
        <x:f>C136/B136</x:f>
        <x:v>0</x:v>
      </x:c>
      <x:c r="G136" s="23" t="str">
        <x:f>IF(B136&gt;$B$5,"Yes","No")</x:f>
        <x:v>No</x:v>
      </x:c>
      <x:c r="H136" s="23" t="str">
        <x:f>IF(F136&gt;$B$4,"Yes","No")</x:f>
        <x:v>No</x:v>
      </x:c>
      <x:c r="I136" s="23" t="str">
        <x:f>IF(AND(G136="Yes",H136="Yes"),"Top-right","Other")</x:f>
        <x:v>Other</x:v>
      </x:c>
    </x:row>
    <x:row r="137">
      <x:c r="A137" s="23" t="str">
        <x:v>O'Hara-Wilderman</x:v>
      </x:c>
      <x:c r="B137" s="24" t="n">
        <x:v>59</x:v>
      </x:c>
      <x:c r="C137" s="24" t="n">
        <x:v>0</x:v>
      </x:c>
      <x:c r="D137" s="26" t="n">
        <x:v>0</x:v>
      </x:c>
      <x:c r="E137" s="24" t="n">
        <x:f>B137-C137</x:f>
        <x:v>59</x:v>
      </x:c>
      <x:c r="F137" s="25" t="n">
        <x:f>C137/B137</x:f>
        <x:v>0</x:v>
      </x:c>
      <x:c r="G137" s="23" t="str">
        <x:f>IF(B137&gt;$B$5,"Yes","No")</x:f>
        <x:v>No</x:v>
      </x:c>
      <x:c r="H137" s="23" t="str">
        <x:f>IF(F137&gt;$B$4,"Yes","No")</x:f>
        <x:v>No</x:v>
      </x:c>
      <x:c r="I137" s="23" t="str">
        <x:f>IF(AND(G137="Yes",H137="Yes"),"Top-right","Other")</x:f>
        <x:v>Other</x:v>
      </x:c>
    </x:row>
    <x:row r="138">
      <x:c r="A138" s="23" t="str">
        <x:v>Sporer-Keebler</x:v>
      </x:c>
      <x:c r="B138" s="24" t="n">
        <x:v>59</x:v>
      </x:c>
      <x:c r="C138" s="24" t="n">
        <x:v>0</x:v>
      </x:c>
      <x:c r="D138" s="26" t="n">
        <x:v>0</x:v>
      </x:c>
      <x:c r="E138" s="24" t="n">
        <x:f>B138-C138</x:f>
        <x:v>59</x:v>
      </x:c>
      <x:c r="F138" s="25" t="n">
        <x:f>C138/B138</x:f>
        <x:v>0</x:v>
      </x:c>
      <x:c r="G138" s="23" t="str">
        <x:f>IF(B138&gt;$B$5,"Yes","No")</x:f>
        <x:v>No</x:v>
      </x:c>
      <x:c r="H138" s="23" t="str">
        <x:f>IF(F138&gt;$B$4,"Yes","No")</x:f>
        <x:v>No</x:v>
      </x:c>
      <x:c r="I138" s="23" t="str">
        <x:f>IF(AND(G138="Yes",H138="Yes"),"Top-right","Other")</x:f>
        <x:v>Other</x:v>
      </x:c>
    </x:row>
    <x:row r="139">
      <x:c r="A139" s="23" t="str">
        <x:v>Stanton, Jakubowski and Baumbach</x:v>
      </x:c>
      <x:c r="B139" s="24" t="n">
        <x:v>59</x:v>
      </x:c>
      <x:c r="C139" s="24" t="n">
        <x:v>0</x:v>
      </x:c>
      <x:c r="D139" s="26" t="n">
        <x:v>0</x:v>
      </x:c>
      <x:c r="E139" s="24" t="n">
        <x:f>B139-C139</x:f>
        <x:v>59</x:v>
      </x:c>
      <x:c r="F139" s="25" t="n">
        <x:f>C139/B139</x:f>
        <x:v>0</x:v>
      </x:c>
      <x:c r="G139" s="23" t="str">
        <x:f>IF(B139&gt;$B$5,"Yes","No")</x:f>
        <x:v>No</x:v>
      </x:c>
      <x:c r="H139" s="23" t="str">
        <x:f>IF(F139&gt;$B$4,"Yes","No")</x:f>
        <x:v>No</x:v>
      </x:c>
      <x:c r="I139" s="23" t="str">
        <x:f>IF(AND(G139="Yes",H139="Yes"),"Top-right","Other")</x:f>
        <x:v>Other</x:v>
      </x:c>
    </x:row>
    <x:row r="140">
      <x:c r="A140" s="23" t="str">
        <x:v>Weber and Sons</x:v>
      </x:c>
      <x:c r="B140" s="24" t="n">
        <x:v>59</x:v>
      </x:c>
      <x:c r="C140" s="24" t="n">
        <x:v>0</x:v>
      </x:c>
      <x:c r="D140" s="26" t="n">
        <x:v>0</x:v>
      </x:c>
      <x:c r="E140" s="24" t="n">
        <x:f>B140-C140</x:f>
        <x:v>59</x:v>
      </x:c>
      <x:c r="F140" s="25" t="n">
        <x:f>C140/B140</x:f>
        <x:v>0</x:v>
      </x:c>
      <x:c r="G140" s="23" t="str">
        <x:f>IF(B140&gt;$B$5,"Yes","No")</x:f>
        <x:v>No</x:v>
      </x:c>
      <x:c r="H140" s="23" t="str">
        <x:f>IF(F140&gt;$B$4,"Yes","No")</x:f>
        <x:v>No</x:v>
      </x:c>
      <x:c r="I140" s="23" t="str">
        <x:f>IF(AND(G140="Yes",H140="Yes"),"Top-right","Other")</x:f>
        <x:v>Other</x:v>
      </x:c>
    </x:row>
    <x:row r="141">
      <x:c r="A141" s="23" t="str">
        <x:v>Bahringer, Osinski and Block</x:v>
      </x:c>
      <x:c r="B141" s="24" t="n">
        <x:v>60</x:v>
      </x:c>
      <x:c r="C141" s="24" t="n">
        <x:v>0</x:v>
      </x:c>
      <x:c r="D141" s="26" t="n">
        <x:v>0</x:v>
      </x:c>
      <x:c r="E141" s="24" t="n">
        <x:f>B141-C141</x:f>
        <x:v>60</x:v>
      </x:c>
      <x:c r="F141" s="25" t="n">
        <x:f>C141/B141</x:f>
        <x:v>0</x:v>
      </x:c>
      <x:c r="G141" s="23" t="str">
        <x:f>IF(B141&gt;$B$5,"Yes","No")</x:f>
        <x:v>No</x:v>
      </x:c>
      <x:c r="H141" s="23" t="str">
        <x:f>IF(F141&gt;$B$4,"Yes","No")</x:f>
        <x:v>No</x:v>
      </x:c>
      <x:c r="I141" s="23" t="str">
        <x:f>IF(AND(G141="Yes",H141="Yes"),"Top-right","Other")</x:f>
        <x:v>Other</x:v>
      </x:c>
    </x:row>
    <x:row r="142">
      <x:c r="A142" s="23" t="str">
        <x:v>Gutmann-Upton</x:v>
      </x:c>
      <x:c r="B142" s="24" t="n">
        <x:v>60</x:v>
      </x:c>
      <x:c r="C142" s="24" t="n">
        <x:v>0</x:v>
      </x:c>
      <x:c r="D142" s="26" t="n">
        <x:v>0</x:v>
      </x:c>
      <x:c r="E142" s="24" t="n">
        <x:f>B142-C142</x:f>
        <x:v>60</x:v>
      </x:c>
      <x:c r="F142" s="25" t="n">
        <x:f>C142/B142</x:f>
        <x:v>0</x:v>
      </x:c>
      <x:c r="G142" s="23" t="str">
        <x:f>IF(B142&gt;$B$5,"Yes","No")</x:f>
        <x:v>No</x:v>
      </x:c>
      <x:c r="H142" s="23" t="str">
        <x:f>IF(F142&gt;$B$4,"Yes","No")</x:f>
        <x:v>No</x:v>
      </x:c>
      <x:c r="I142" s="23" t="str">
        <x:f>IF(AND(G142="Yes",H142="Yes"),"Top-right","Other")</x:f>
        <x:v>Other</x:v>
      </x:c>
    </x:row>
    <x:row r="143">
      <x:c r="A143" s="23" t="str">
        <x:v>Konopelski, Schneider and Hartmann</x:v>
      </x:c>
      <x:c r="B143" s="24" t="n">
        <x:v>60</x:v>
      </x:c>
      <x:c r="C143" s="24" t="n">
        <x:v>0</x:v>
      </x:c>
      <x:c r="D143" s="26" t="n">
        <x:v>0</x:v>
      </x:c>
      <x:c r="E143" s="24" t="n">
        <x:f>B143-C143</x:f>
        <x:v>60</x:v>
      </x:c>
      <x:c r="F143" s="25" t="n">
        <x:f>C143/B143</x:f>
        <x:v>0</x:v>
      </x:c>
      <x:c r="G143" s="23" t="str">
        <x:f>IF(B143&gt;$B$5,"Yes","No")</x:f>
        <x:v>No</x:v>
      </x:c>
      <x:c r="H143" s="23" t="str">
        <x:f>IF(F143&gt;$B$4,"Yes","No")</x:f>
        <x:v>No</x:v>
      </x:c>
      <x:c r="I143" s="23" t="str">
        <x:f>IF(AND(G143="Yes",H143="Yes"),"Top-right","Other")</x:f>
        <x:v>Other</x:v>
      </x:c>
    </x:row>
    <x:row r="144">
      <x:c r="A144" s="23" t="str">
        <x:v>Langosh, Wintheiser and Hyatt</x:v>
      </x:c>
      <x:c r="B144" s="24" t="n">
        <x:v>60</x:v>
      </x:c>
      <x:c r="C144" s="24" t="n">
        <x:v>0</x:v>
      </x:c>
      <x:c r="D144" s="26" t="n">
        <x:v>0</x:v>
      </x:c>
      <x:c r="E144" s="24" t="n">
        <x:f>B144-C144</x:f>
        <x:v>60</x:v>
      </x:c>
      <x:c r="F144" s="25" t="n">
        <x:f>C144/B144</x:f>
        <x:v>0</x:v>
      </x:c>
      <x:c r="G144" s="23" t="str">
        <x:f>IF(B144&gt;$B$5,"Yes","No")</x:f>
        <x:v>No</x:v>
      </x:c>
      <x:c r="H144" s="23" t="str">
        <x:f>IF(F144&gt;$B$4,"Yes","No")</x:f>
        <x:v>No</x:v>
      </x:c>
      <x:c r="I144" s="23" t="str">
        <x:f>IF(AND(G144="Yes",H144="Yes"),"Top-right","Other")</x:f>
        <x:v>Other</x:v>
      </x:c>
    </x:row>
    <x:row r="145">
      <x:c r="A145" s="23" t="str">
        <x:v>Langworth LLC</x:v>
      </x:c>
      <x:c r="B145" s="24" t="n">
        <x:v>60</x:v>
      </x:c>
      <x:c r="C145" s="24" t="n">
        <x:v>0</x:v>
      </x:c>
      <x:c r="D145" s="26" t="n">
        <x:v>0</x:v>
      </x:c>
      <x:c r="E145" s="24" t="n">
        <x:f>B145-C145</x:f>
        <x:v>60</x:v>
      </x:c>
      <x:c r="F145" s="25" t="n">
        <x:f>C145/B145</x:f>
        <x:v>0</x:v>
      </x:c>
      <x:c r="G145" s="23" t="str">
        <x:f>IF(B145&gt;$B$5,"Yes","No")</x:f>
        <x:v>No</x:v>
      </x:c>
      <x:c r="H145" s="23" t="str">
        <x:f>IF(F145&gt;$B$4,"Yes","No")</x:f>
        <x:v>No</x:v>
      </x:c>
      <x:c r="I145" s="23" t="str">
        <x:f>IF(AND(G145="Yes",H145="Yes"),"Top-right","Other")</x:f>
        <x:v>Other</x:v>
      </x:c>
    </x:row>
    <x:row r="146">
      <x:c r="A146" s="23" t="str">
        <x:v>McCullough LLC</x:v>
      </x:c>
      <x:c r="B146" s="24" t="n">
        <x:v>60</x:v>
      </x:c>
      <x:c r="C146" s="24" t="n">
        <x:v>0</x:v>
      </x:c>
      <x:c r="D146" s="26" t="n">
        <x:v>0</x:v>
      </x:c>
      <x:c r="E146" s="24" t="n">
        <x:f>B146-C146</x:f>
        <x:v>60</x:v>
      </x:c>
      <x:c r="F146" s="25" t="n">
        <x:f>C146/B146</x:f>
        <x:v>0</x:v>
      </x:c>
      <x:c r="G146" s="23" t="str">
        <x:f>IF(B146&gt;$B$5,"Yes","No")</x:f>
        <x:v>No</x:v>
      </x:c>
      <x:c r="H146" s="23" t="str">
        <x:f>IF(F146&gt;$B$4,"Yes","No")</x:f>
        <x:v>No</x:v>
      </x:c>
      <x:c r="I146" s="23" t="str">
        <x:f>IF(AND(G146="Yes",H146="Yes"),"Top-right","Other")</x:f>
        <x:v>Other</x:v>
      </x:c>
    </x:row>
    <x:row r="147">
      <x:c r="A147" s="23" t="str">
        <x:v>Metz-Boehm</x:v>
      </x:c>
      <x:c r="B147" s="24" t="n">
        <x:v>60</x:v>
      </x:c>
      <x:c r="C147" s="24" t="n">
        <x:v>0</x:v>
      </x:c>
      <x:c r="D147" s="26" t="n">
        <x:v>0</x:v>
      </x:c>
      <x:c r="E147" s="24" t="n">
        <x:f>B147-C147</x:f>
        <x:v>60</x:v>
      </x:c>
      <x:c r="F147" s="25" t="n">
        <x:f>C147/B147</x:f>
        <x:v>0</x:v>
      </x:c>
      <x:c r="G147" s="23" t="str">
        <x:f>IF(B147&gt;$B$5,"Yes","No")</x:f>
        <x:v>No</x:v>
      </x:c>
      <x:c r="H147" s="23" t="str">
        <x:f>IF(F147&gt;$B$4,"Yes","No")</x:f>
        <x:v>No</x:v>
      </x:c>
      <x:c r="I147" s="23" t="str">
        <x:f>IF(AND(G147="Yes",H147="Yes"),"Top-right","Other")</x:f>
        <x:v>Other</x:v>
      </x:c>
    </x:row>
    <x:row r="148">
      <x:c r="A148" s="23" t="str">
        <x:v>O'Keefe-Wisoky</x:v>
      </x:c>
      <x:c r="B148" s="24" t="n">
        <x:v>60</x:v>
      </x:c>
      <x:c r="C148" s="24" t="n">
        <x:v>0</x:v>
      </x:c>
      <x:c r="D148" s="26" t="n">
        <x:v>0</x:v>
      </x:c>
      <x:c r="E148" s="24" t="n">
        <x:f>B148-C148</x:f>
        <x:v>60</x:v>
      </x:c>
      <x:c r="F148" s="25" t="n">
        <x:f>C148/B148</x:f>
        <x:v>0</x:v>
      </x:c>
      <x:c r="G148" s="23" t="str">
        <x:f>IF(B148&gt;$B$5,"Yes","No")</x:f>
        <x:v>No</x:v>
      </x:c>
      <x:c r="H148" s="23" t="str">
        <x:f>IF(F148&gt;$B$4,"Yes","No")</x:f>
        <x:v>No</x:v>
      </x:c>
      <x:c r="I148" s="23" t="str">
        <x:f>IF(AND(G148="Yes",H148="Yes"),"Top-right","Other")</x:f>
        <x:v>Other</x:v>
      </x:c>
    </x:row>
    <x:row r="149">
      <x:c r="A149" s="23" t="str">
        <x:v>Parker-Kunde</x:v>
      </x:c>
      <x:c r="B149" s="24" t="n">
        <x:v>60</x:v>
      </x:c>
      <x:c r="C149" s="24" t="n">
        <x:v>0</x:v>
      </x:c>
      <x:c r="D149" s="26" t="n">
        <x:v>0</x:v>
      </x:c>
      <x:c r="E149" s="24" t="n">
        <x:f>B149-C149</x:f>
        <x:v>60</x:v>
      </x:c>
      <x:c r="F149" s="25" t="n">
        <x:f>C149/B149</x:f>
        <x:v>0</x:v>
      </x:c>
      <x:c r="G149" s="23" t="str">
        <x:f>IF(B149&gt;$B$5,"Yes","No")</x:f>
        <x:v>No</x:v>
      </x:c>
      <x:c r="H149" s="23" t="str">
        <x:f>IF(F149&gt;$B$4,"Yes","No")</x:f>
        <x:v>No</x:v>
      </x:c>
      <x:c r="I149" s="23" t="str">
        <x:f>IF(AND(G149="Yes",H149="Yes"),"Top-right","Other")</x:f>
        <x:v>Other</x:v>
      </x:c>
    </x:row>
    <x:row r="150">
      <x:c r="A150" s="23" t="str">
        <x:v>Schmeler-Howe</x:v>
      </x:c>
      <x:c r="B150" s="24" t="n">
        <x:v>60</x:v>
      </x:c>
      <x:c r="C150" s="24" t="n">
        <x:v>0</x:v>
      </x:c>
      <x:c r="D150" s="26" t="n">
        <x:v>0</x:v>
      </x:c>
      <x:c r="E150" s="24" t="n">
        <x:f>B150-C150</x:f>
        <x:v>60</x:v>
      </x:c>
      <x:c r="F150" s="25" t="n">
        <x:f>C150/B150</x:f>
        <x:v>0</x:v>
      </x:c>
      <x:c r="G150" s="23" t="str">
        <x:f>IF(B150&gt;$B$5,"Yes","No")</x:f>
        <x:v>No</x:v>
      </x:c>
      <x:c r="H150" s="23" t="str">
        <x:f>IF(F150&gt;$B$4,"Yes","No")</x:f>
        <x:v>No</x:v>
      </x:c>
      <x:c r="I150" s="23" t="str">
        <x:f>IF(AND(G150="Yes",H150="Yes"),"Top-right","Other")</x:f>
        <x:v>Other</x:v>
      </x:c>
    </x:row>
    <x:row r="151">
      <x:c r="A151" s="23" t="str">
        <x:v>Schneider, Hayes and Nikolaus</x:v>
      </x:c>
      <x:c r="B151" s="24" t="n">
        <x:v>60</x:v>
      </x:c>
      <x:c r="C151" s="24" t="n">
        <x:v>1</x:v>
      </x:c>
      <x:c r="D151" s="26" t="n">
        <x:v>125.89</x:v>
      </x:c>
      <x:c r="E151" s="24" t="n">
        <x:f>B151-C151</x:f>
        <x:v>59</x:v>
      </x:c>
      <x:c r="F151" s="25" t="n">
        <x:f>C151/B151</x:f>
        <x:v>0.016666666666666666</x:v>
      </x:c>
      <x:c r="G151" s="23" t="str">
        <x:f>IF(B151&gt;$B$5,"Yes","No")</x:f>
        <x:v>No</x:v>
      </x:c>
      <x:c r="H151" s="23" t="str">
        <x:f>IF(F151&gt;$B$4,"Yes","No")</x:f>
        <x:v>Yes</x:v>
      </x:c>
      <x:c r="I151" s="23" t="str">
        <x:f>IF(AND(G151="Yes",H151="Yes"),"Top-right","Other")</x:f>
        <x:v>Other</x:v>
      </x:c>
    </x:row>
    <x:row r="152">
      <x:c r="A152" s="23" t="str">
        <x:v>Schroeder, Hauck and Treutel</x:v>
      </x:c>
      <x:c r="B152" s="24" t="n">
        <x:v>60</x:v>
      </x:c>
      <x:c r="C152" s="24" t="n">
        <x:v>1</x:v>
      </x:c>
      <x:c r="D152" s="26" t="n">
        <x:v>510.95</x:v>
      </x:c>
      <x:c r="E152" s="24" t="n">
        <x:f>B152-C152</x:f>
        <x:v>59</x:v>
      </x:c>
      <x:c r="F152" s="25" t="n">
        <x:f>C152/B152</x:f>
        <x:v>0.016666666666666666</x:v>
      </x:c>
      <x:c r="G152" s="23" t="str">
        <x:f>IF(B152&gt;$B$5,"Yes","No")</x:f>
        <x:v>No</x:v>
      </x:c>
      <x:c r="H152" s="23" t="str">
        <x:f>IF(F152&gt;$B$4,"Yes","No")</x:f>
        <x:v>Yes</x:v>
      </x:c>
      <x:c r="I152" s="23" t="str">
        <x:f>IF(AND(G152="Yes",H152="Yes"),"Top-right","Other")</x:f>
        <x:v>Other</x:v>
      </x:c>
    </x:row>
    <x:row r="153">
      <x:c r="A153" s="23" t="str">
        <x:v>Waters-Cruickshank</x:v>
      </x:c>
      <x:c r="B153" s="24" t="n">
        <x:v>60</x:v>
      </x:c>
      <x:c r="C153" s="24" t="n">
        <x:v>0</x:v>
      </x:c>
      <x:c r="D153" s="26" t="n">
        <x:v>0</x:v>
      </x:c>
      <x:c r="E153" s="24" t="n">
        <x:f>B153-C153</x:f>
        <x:v>60</x:v>
      </x:c>
      <x:c r="F153" s="25" t="n">
        <x:f>C153/B153</x:f>
        <x:v>0</x:v>
      </x:c>
      <x:c r="G153" s="23" t="str">
        <x:f>IF(B153&gt;$B$5,"Yes","No")</x:f>
        <x:v>No</x:v>
      </x:c>
      <x:c r="H153" s="23" t="str">
        <x:f>IF(F153&gt;$B$4,"Yes","No")</x:f>
        <x:v>No</x:v>
      </x:c>
      <x:c r="I153" s="23" t="str">
        <x:f>IF(AND(G153="Yes",H153="Yes"),"Top-right","Other")</x:f>
        <x:v>Other</x:v>
      </x:c>
    </x:row>
    <x:row r="154">
      <x:c r="A154" s="23" t="str">
        <x:v>Wilkinson LLC</x:v>
      </x:c>
      <x:c r="B154" s="24" t="n">
        <x:v>60</x:v>
      </x:c>
      <x:c r="C154" s="24" t="n">
        <x:v>0</x:v>
      </x:c>
      <x:c r="D154" s="26" t="n">
        <x:v>0</x:v>
      </x:c>
      <x:c r="E154" s="24" t="n">
        <x:f>B154-C154</x:f>
        <x:v>60</x:v>
      </x:c>
      <x:c r="F154" s="25" t="n">
        <x:f>C154/B154</x:f>
        <x:v>0</x:v>
      </x:c>
      <x:c r="G154" s="23" t="str">
        <x:f>IF(B154&gt;$B$5,"Yes","No")</x:f>
        <x:v>No</x:v>
      </x:c>
      <x:c r="H154" s="23" t="str">
        <x:f>IF(F154&gt;$B$4,"Yes","No")</x:f>
        <x:v>No</x:v>
      </x:c>
      <x:c r="I154" s="23" t="str">
        <x:f>IF(AND(G154="Yes",H154="Yes"),"Top-right","Other")</x:f>
        <x:v>Other</x:v>
      </x:c>
    </x:row>
    <x:row r="155">
      <x:c r="A155" s="23" t="str">
        <x:v>Yost-Rogahn</x:v>
      </x:c>
      <x:c r="B155" s="24" t="n">
        <x:v>60</x:v>
      </x:c>
      <x:c r="C155" s="24" t="n">
        <x:v>0</x:v>
      </x:c>
      <x:c r="D155" s="26" t="n">
        <x:v>0</x:v>
      </x:c>
      <x:c r="E155" s="24" t="n">
        <x:f>B155-C155</x:f>
        <x:v>60</x:v>
      </x:c>
      <x:c r="F155" s="25" t="n">
        <x:f>C155/B155</x:f>
        <x:v>0</x:v>
      </x:c>
      <x:c r="G155" s="23" t="str">
        <x:f>IF(B155&gt;$B$5,"Yes","No")</x:f>
        <x:v>No</x:v>
      </x:c>
      <x:c r="H155" s="23" t="str">
        <x:f>IF(F155&gt;$B$4,"Yes","No")</x:f>
        <x:v>No</x:v>
      </x:c>
      <x:c r="I155" s="23" t="str">
        <x:f>IF(AND(G155="Yes",H155="Yes"),"Top-right","Other")</x:f>
        <x:v>Other</x:v>
      </x:c>
    </x:row>
    <x:row r="156">
      <x:c r="A156" s="23" t="str">
        <x:v>Berge-Ullrich</x:v>
      </x:c>
      <x:c r="B156" s="24" t="n">
        <x:v>61</x:v>
      </x:c>
      <x:c r="C156" s="24" t="n">
        <x:v>0</x:v>
      </x:c>
      <x:c r="D156" s="26" t="n">
        <x:v>0</x:v>
      </x:c>
      <x:c r="E156" s="24" t="n">
        <x:f>B156-C156</x:f>
        <x:v>61</x:v>
      </x:c>
      <x:c r="F156" s="25" t="n">
        <x:f>C156/B156</x:f>
        <x:v>0</x:v>
      </x:c>
      <x:c r="G156" s="23" t="str">
        <x:f>IF(B156&gt;$B$5,"Yes","No")</x:f>
        <x:v>No</x:v>
      </x:c>
      <x:c r="H156" s="23" t="str">
        <x:f>IF(F156&gt;$B$4,"Yes","No")</x:f>
        <x:v>No</x:v>
      </x:c>
      <x:c r="I156" s="23" t="str">
        <x:f>IF(AND(G156="Yes",H156="Yes"),"Top-right","Other")</x:f>
        <x:v>Other</x:v>
      </x:c>
    </x:row>
    <x:row r="157">
      <x:c r="A157" s="23" t="str">
        <x:v>Brown-Greenholt</x:v>
      </x:c>
      <x:c r="B157" s="24" t="n">
        <x:v>61</x:v>
      </x:c>
      <x:c r="C157" s="24" t="n">
        <x:v>0</x:v>
      </x:c>
      <x:c r="D157" s="26" t="n">
        <x:v>0</x:v>
      </x:c>
      <x:c r="E157" s="24" t="n">
        <x:f>B157-C157</x:f>
        <x:v>61</x:v>
      </x:c>
      <x:c r="F157" s="25" t="n">
        <x:f>C157/B157</x:f>
        <x:v>0</x:v>
      </x:c>
      <x:c r="G157" s="23" t="str">
        <x:f>IF(B157&gt;$B$5,"Yes","No")</x:f>
        <x:v>No</x:v>
      </x:c>
      <x:c r="H157" s="23" t="str">
        <x:f>IF(F157&gt;$B$4,"Yes","No")</x:f>
        <x:v>No</x:v>
      </x:c>
      <x:c r="I157" s="23" t="str">
        <x:f>IF(AND(G157="Yes",H157="Yes"),"Top-right","Other")</x:f>
        <x:v>Other</x:v>
      </x:c>
    </x:row>
    <x:row r="158">
      <x:c r="A158" s="23" t="str">
        <x:v>Dare, Casper and Bartoletti</x:v>
      </x:c>
      <x:c r="B158" s="24" t="n">
        <x:v>61</x:v>
      </x:c>
      <x:c r="C158" s="24" t="n">
        <x:v>2</x:v>
      </x:c>
      <x:c r="D158" s="26" t="n">
        <x:v>45.269999999999996</x:v>
      </x:c>
      <x:c r="E158" s="24" t="n">
        <x:f>B158-C158</x:f>
        <x:v>59</x:v>
      </x:c>
      <x:c r="F158" s="25" t="n">
        <x:f>C158/B158</x:f>
        <x:v>0.03278688524590164</x:v>
      </x:c>
      <x:c r="G158" s="23" t="str">
        <x:f>IF(B158&gt;$B$5,"Yes","No")</x:f>
        <x:v>No</x:v>
      </x:c>
      <x:c r="H158" s="23" t="str">
        <x:f>IF(F158&gt;$B$4,"Yes","No")</x:f>
        <x:v>Yes</x:v>
      </x:c>
      <x:c r="I158" s="23" t="str">
        <x:f>IF(AND(G158="Yes",H158="Yes"),"Top-right","Other")</x:f>
        <x:v>Other</x:v>
      </x:c>
    </x:row>
    <x:row r="159">
      <x:c r="A159" s="23" t="str">
        <x:v>Douglas-White</x:v>
      </x:c>
      <x:c r="B159" s="24" t="n">
        <x:v>61</x:v>
      </x:c>
      <x:c r="C159" s="24" t="n">
        <x:v>0</x:v>
      </x:c>
      <x:c r="D159" s="26" t="n">
        <x:v>0</x:v>
      </x:c>
      <x:c r="E159" s="24" t="n">
        <x:f>B159-C159</x:f>
        <x:v>61</x:v>
      </x:c>
      <x:c r="F159" s="25" t="n">
        <x:f>C159/B159</x:f>
        <x:v>0</x:v>
      </x:c>
      <x:c r="G159" s="23" t="str">
        <x:f>IF(B159&gt;$B$5,"Yes","No")</x:f>
        <x:v>No</x:v>
      </x:c>
      <x:c r="H159" s="23" t="str">
        <x:f>IF(F159&gt;$B$4,"Yes","No")</x:f>
        <x:v>No</x:v>
      </x:c>
      <x:c r="I159" s="23" t="str">
        <x:f>IF(AND(G159="Yes",H159="Yes"),"Top-right","Other")</x:f>
        <x:v>Other</x:v>
      </x:c>
    </x:row>
    <x:row r="160">
      <x:c r="A160" s="23" t="str">
        <x:v>Fadel, Mertz and Rippin</x:v>
      </x:c>
      <x:c r="B160" s="24" t="n">
        <x:v>61</x:v>
      </x:c>
      <x:c r="C160" s="24" t="n">
        <x:v>1</x:v>
      </x:c>
      <x:c r="D160" s="26" t="n">
        <x:v>535.22</x:v>
      </x:c>
      <x:c r="E160" s="24" t="n">
        <x:f>B160-C160</x:f>
        <x:v>60</x:v>
      </x:c>
      <x:c r="F160" s="25" t="n">
        <x:f>C160/B160</x:f>
        <x:v>0.01639344262295082</x:v>
      </x:c>
      <x:c r="G160" s="23" t="str">
        <x:f>IF(B160&gt;$B$5,"Yes","No")</x:f>
        <x:v>No</x:v>
      </x:c>
      <x:c r="H160" s="23" t="str">
        <x:f>IF(F160&gt;$B$4,"Yes","No")</x:f>
        <x:v>Yes</x:v>
      </x:c>
      <x:c r="I160" s="23" t="str">
        <x:f>IF(AND(G160="Yes",H160="Yes"),"Top-right","Other")</x:f>
        <x:v>Other</x:v>
      </x:c>
    </x:row>
    <x:row r="161">
      <x:c r="A161" s="23" t="str">
        <x:v>Graham and Sons</x:v>
      </x:c>
      <x:c r="B161" s="24" t="n">
        <x:v>61</x:v>
      </x:c>
      <x:c r="C161" s="24" t="n">
        <x:v>0</x:v>
      </x:c>
      <x:c r="D161" s="26" t="n">
        <x:v>0</x:v>
      </x:c>
      <x:c r="E161" s="24" t="n">
        <x:f>B161-C161</x:f>
        <x:v>61</x:v>
      </x:c>
      <x:c r="F161" s="25" t="n">
        <x:f>C161/B161</x:f>
        <x:v>0</x:v>
      </x:c>
      <x:c r="G161" s="23" t="str">
        <x:f>IF(B161&gt;$B$5,"Yes","No")</x:f>
        <x:v>No</x:v>
      </x:c>
      <x:c r="H161" s="23" t="str">
        <x:f>IF(F161&gt;$B$4,"Yes","No")</x:f>
        <x:v>No</x:v>
      </x:c>
      <x:c r="I161" s="23" t="str">
        <x:f>IF(AND(G161="Yes",H161="Yes"),"Top-right","Other")</x:f>
        <x:v>Other</x:v>
      </x:c>
    </x:row>
    <x:row r="162">
      <x:c r="A162" s="23" t="str">
        <x:v>Greenholt Ltd</x:v>
      </x:c>
      <x:c r="B162" s="24" t="n">
        <x:v>61</x:v>
      </x:c>
      <x:c r="C162" s="24" t="n">
        <x:v>1</x:v>
      </x:c>
      <x:c r="D162" s="26" t="n">
        <x:v>20.85</x:v>
      </x:c>
      <x:c r="E162" s="24" t="n">
        <x:f>B162-C162</x:f>
        <x:v>60</x:v>
      </x:c>
      <x:c r="F162" s="25" t="n">
        <x:f>C162/B162</x:f>
        <x:v>0.01639344262295082</x:v>
      </x:c>
      <x:c r="G162" s="23" t="str">
        <x:f>IF(B162&gt;$B$5,"Yes","No")</x:f>
        <x:v>No</x:v>
      </x:c>
      <x:c r="H162" s="23" t="str">
        <x:f>IF(F162&gt;$B$4,"Yes","No")</x:f>
        <x:v>Yes</x:v>
      </x:c>
      <x:c r="I162" s="23" t="str">
        <x:f>IF(AND(G162="Yes",H162="Yes"),"Top-right","Other")</x:f>
        <x:v>Other</x:v>
      </x:c>
    </x:row>
    <x:row r="163">
      <x:c r="A163" s="23" t="str">
        <x:v>Heathcote LLC</x:v>
      </x:c>
      <x:c r="B163" s="24" t="n">
        <x:v>61</x:v>
      </x:c>
      <x:c r="C163" s="24" t="n">
        <x:v>0</x:v>
      </x:c>
      <x:c r="D163" s="26" t="n">
        <x:v>0</x:v>
      </x:c>
      <x:c r="E163" s="24" t="n">
        <x:f>B163-C163</x:f>
        <x:v>61</x:v>
      </x:c>
      <x:c r="F163" s="25" t="n">
        <x:f>C163/B163</x:f>
        <x:v>0</x:v>
      </x:c>
      <x:c r="G163" s="23" t="str">
        <x:f>IF(B163&gt;$B$5,"Yes","No")</x:f>
        <x:v>No</x:v>
      </x:c>
      <x:c r="H163" s="23" t="str">
        <x:f>IF(F163&gt;$B$4,"Yes","No")</x:f>
        <x:v>No</x:v>
      </x:c>
      <x:c r="I163" s="23" t="str">
        <x:f>IF(AND(G163="Yes",H163="Yes"),"Top-right","Other")</x:f>
        <x:v>Other</x:v>
      </x:c>
    </x:row>
    <x:row r="164">
      <x:c r="A164" s="23" t="str">
        <x:v>Jast and Sons</x:v>
      </x:c>
      <x:c r="B164" s="24" t="n">
        <x:v>61</x:v>
      </x:c>
      <x:c r="C164" s="24" t="n">
        <x:v>0</x:v>
      </x:c>
      <x:c r="D164" s="26" t="n">
        <x:v>0</x:v>
      </x:c>
      <x:c r="E164" s="24" t="n">
        <x:f>B164-C164</x:f>
        <x:v>61</x:v>
      </x:c>
      <x:c r="F164" s="25" t="n">
        <x:f>C164/B164</x:f>
        <x:v>0</x:v>
      </x:c>
      <x:c r="G164" s="23" t="str">
        <x:f>IF(B164&gt;$B$5,"Yes","No")</x:f>
        <x:v>No</x:v>
      </x:c>
      <x:c r="H164" s="23" t="str">
        <x:f>IF(F164&gt;$B$4,"Yes","No")</x:f>
        <x:v>No</x:v>
      </x:c>
      <x:c r="I164" s="23" t="str">
        <x:f>IF(AND(G164="Yes",H164="Yes"),"Top-right","Other")</x:f>
        <x:v>Other</x:v>
      </x:c>
    </x:row>
    <x:row r="165">
      <x:c r="A165" s="23" t="str">
        <x:v>Keeling-Crist</x:v>
      </x:c>
      <x:c r="B165" s="24" t="n">
        <x:v>61</x:v>
      </x:c>
      <x:c r="C165" s="24" t="n">
        <x:v>0</x:v>
      </x:c>
      <x:c r="D165" s="26" t="n">
        <x:v>0</x:v>
      </x:c>
      <x:c r="E165" s="24" t="n">
        <x:f>B165-C165</x:f>
        <x:v>61</x:v>
      </x:c>
      <x:c r="F165" s="25" t="n">
        <x:f>C165/B165</x:f>
        <x:v>0</x:v>
      </x:c>
      <x:c r="G165" s="23" t="str">
        <x:f>IF(B165&gt;$B$5,"Yes","No")</x:f>
        <x:v>No</x:v>
      </x:c>
      <x:c r="H165" s="23" t="str">
        <x:f>IF(F165&gt;$B$4,"Yes","No")</x:f>
        <x:v>No</x:v>
      </x:c>
      <x:c r="I165" s="23" t="str">
        <x:f>IF(AND(G165="Yes",H165="Yes"),"Top-right","Other")</x:f>
        <x:v>Other</x:v>
      </x:c>
    </x:row>
    <x:row r="166">
      <x:c r="A166" s="23" t="str">
        <x:v>Kemmer-Buckridge</x:v>
      </x:c>
      <x:c r="B166" s="24" t="n">
        <x:v>61</x:v>
      </x:c>
      <x:c r="C166" s="24" t="n">
        <x:v>0</x:v>
      </x:c>
      <x:c r="D166" s="26" t="n">
        <x:v>0</x:v>
      </x:c>
      <x:c r="E166" s="24" t="n">
        <x:f>B166-C166</x:f>
        <x:v>61</x:v>
      </x:c>
      <x:c r="F166" s="25" t="n">
        <x:f>C166/B166</x:f>
        <x:v>0</x:v>
      </x:c>
      <x:c r="G166" s="23" t="str">
        <x:f>IF(B166&gt;$B$5,"Yes","No")</x:f>
        <x:v>No</x:v>
      </x:c>
      <x:c r="H166" s="23" t="str">
        <x:f>IF(F166&gt;$B$4,"Yes","No")</x:f>
        <x:v>No</x:v>
      </x:c>
      <x:c r="I166" s="23" t="str">
        <x:f>IF(AND(G166="Yes",H166="Yes"),"Top-right","Other")</x:f>
        <x:v>Other</x:v>
      </x:c>
    </x:row>
    <x:row r="167">
      <x:c r="A167" s="23" t="str">
        <x:v>Kerluke-Abshire</x:v>
      </x:c>
      <x:c r="B167" s="24" t="n">
        <x:v>61</x:v>
      </x:c>
      <x:c r="C167" s="24" t="n">
        <x:v>2</x:v>
      </x:c>
      <x:c r="D167" s="26" t="n">
        <x:v>2108.19</x:v>
      </x:c>
      <x:c r="E167" s="24" t="n">
        <x:f>B167-C167</x:f>
        <x:v>59</x:v>
      </x:c>
      <x:c r="F167" s="25" t="n">
        <x:f>C167/B167</x:f>
        <x:v>0.03278688524590164</x:v>
      </x:c>
      <x:c r="G167" s="23" t="str">
        <x:f>IF(B167&gt;$B$5,"Yes","No")</x:f>
        <x:v>No</x:v>
      </x:c>
      <x:c r="H167" s="23" t="str">
        <x:f>IF(F167&gt;$B$4,"Yes","No")</x:f>
        <x:v>Yes</x:v>
      </x:c>
      <x:c r="I167" s="23" t="str">
        <x:f>IF(AND(G167="Yes",H167="Yes"),"Top-right","Other")</x:f>
        <x:v>Other</x:v>
      </x:c>
    </x:row>
    <x:row r="168">
      <x:c r="A168" s="23" t="str">
        <x:v>Kihn-Fritsch</x:v>
      </x:c>
      <x:c r="B168" s="24" t="n">
        <x:v>61</x:v>
      </x:c>
      <x:c r="C168" s="24" t="n">
        <x:v>0</x:v>
      </x:c>
      <x:c r="D168" s="26" t="n">
        <x:v>0</x:v>
      </x:c>
      <x:c r="E168" s="24" t="n">
        <x:f>B168-C168</x:f>
        <x:v>61</x:v>
      </x:c>
      <x:c r="F168" s="25" t="n">
        <x:f>C168/B168</x:f>
        <x:v>0</x:v>
      </x:c>
      <x:c r="G168" s="23" t="str">
        <x:f>IF(B168&gt;$B$5,"Yes","No")</x:f>
        <x:v>No</x:v>
      </x:c>
      <x:c r="H168" s="23" t="str">
        <x:f>IF(F168&gt;$B$4,"Yes","No")</x:f>
        <x:v>No</x:v>
      </x:c>
      <x:c r="I168" s="23" t="str">
        <x:f>IF(AND(G168="Yes",H168="Yes"),"Top-right","Other")</x:f>
        <x:v>Other</x:v>
      </x:c>
    </x:row>
    <x:row r="169">
      <x:c r="A169" s="23" t="str">
        <x:v>Kilback and Sons</x:v>
      </x:c>
      <x:c r="B169" s="24" t="n">
        <x:v>61</x:v>
      </x:c>
      <x:c r="C169" s="24" t="n">
        <x:v>1</x:v>
      </x:c>
      <x:c r="D169" s="26" t="n">
        <x:v>680.26</x:v>
      </x:c>
      <x:c r="E169" s="24" t="n">
        <x:f>B169-C169</x:f>
        <x:v>60</x:v>
      </x:c>
      <x:c r="F169" s="25" t="n">
        <x:f>C169/B169</x:f>
        <x:v>0.01639344262295082</x:v>
      </x:c>
      <x:c r="G169" s="23" t="str">
        <x:f>IF(B169&gt;$B$5,"Yes","No")</x:f>
        <x:v>No</x:v>
      </x:c>
      <x:c r="H169" s="23" t="str">
        <x:f>IF(F169&gt;$B$4,"Yes","No")</x:f>
        <x:v>Yes</x:v>
      </x:c>
      <x:c r="I169" s="23" t="str">
        <x:f>IF(AND(G169="Yes",H169="Yes"),"Top-right","Other")</x:f>
        <x:v>Other</x:v>
      </x:c>
    </x:row>
    <x:row r="170">
      <x:c r="A170" s="23" t="str">
        <x:v>Klein Group</x:v>
      </x:c>
      <x:c r="B170" s="24" t="n">
        <x:v>61</x:v>
      </x:c>
      <x:c r="C170" s="24" t="n">
        <x:v>0</x:v>
      </x:c>
      <x:c r="D170" s="26" t="n">
        <x:v>0</x:v>
      </x:c>
      <x:c r="E170" s="24" t="n">
        <x:f>B170-C170</x:f>
        <x:v>61</x:v>
      </x:c>
      <x:c r="F170" s="25" t="n">
        <x:f>C170/B170</x:f>
        <x:v>0</x:v>
      </x:c>
      <x:c r="G170" s="23" t="str">
        <x:f>IF(B170&gt;$B$5,"Yes","No")</x:f>
        <x:v>No</x:v>
      </x:c>
      <x:c r="H170" s="23" t="str">
        <x:f>IF(F170&gt;$B$4,"Yes","No")</x:f>
        <x:v>No</x:v>
      </x:c>
      <x:c r="I170" s="23" t="str">
        <x:f>IF(AND(G170="Yes",H170="Yes"),"Top-right","Other")</x:f>
        <x:v>Other</x:v>
      </x:c>
    </x:row>
    <x:row r="171">
      <x:c r="A171" s="23" t="str">
        <x:v>Kutch, Steuber and Gerhold</x:v>
      </x:c>
      <x:c r="B171" s="24" t="n">
        <x:v>61</x:v>
      </x:c>
      <x:c r="C171" s="24" t="n">
        <x:v>0</x:v>
      </x:c>
      <x:c r="D171" s="26" t="n">
        <x:v>0</x:v>
      </x:c>
      <x:c r="E171" s="24" t="n">
        <x:f>B171-C171</x:f>
        <x:v>61</x:v>
      </x:c>
      <x:c r="F171" s="25" t="n">
        <x:f>C171/B171</x:f>
        <x:v>0</x:v>
      </x:c>
      <x:c r="G171" s="23" t="str">
        <x:f>IF(B171&gt;$B$5,"Yes","No")</x:f>
        <x:v>No</x:v>
      </x:c>
      <x:c r="H171" s="23" t="str">
        <x:f>IF(F171&gt;$B$4,"Yes","No")</x:f>
        <x:v>No</x:v>
      </x:c>
      <x:c r="I171" s="23" t="str">
        <x:f>IF(AND(G171="Yes",H171="Yes"),"Top-right","Other")</x:f>
        <x:v>Other</x:v>
      </x:c>
    </x:row>
    <x:row r="172">
      <x:c r="A172" s="23" t="str">
        <x:v>Larson-Moen</x:v>
      </x:c>
      <x:c r="B172" s="24" t="n">
        <x:v>61</x:v>
      </x:c>
      <x:c r="C172" s="24" t="n">
        <x:v>0</x:v>
      </x:c>
      <x:c r="D172" s="26" t="n">
        <x:v>0</x:v>
      </x:c>
      <x:c r="E172" s="24" t="n">
        <x:f>B172-C172</x:f>
        <x:v>61</x:v>
      </x:c>
      <x:c r="F172" s="25" t="n">
        <x:f>C172/B172</x:f>
        <x:v>0</x:v>
      </x:c>
      <x:c r="G172" s="23" t="str">
        <x:f>IF(B172&gt;$B$5,"Yes","No")</x:f>
        <x:v>No</x:v>
      </x:c>
      <x:c r="H172" s="23" t="str">
        <x:f>IF(F172&gt;$B$4,"Yes","No")</x:f>
        <x:v>No</x:v>
      </x:c>
      <x:c r="I172" s="23" t="str">
        <x:f>IF(AND(G172="Yes",H172="Yes"),"Top-right","Other")</x:f>
        <x:v>Other</x:v>
      </x:c>
    </x:row>
    <x:row r="173">
      <x:c r="A173" s="23" t="str">
        <x:v>Mueller, Gerhold and Mueller</x:v>
      </x:c>
      <x:c r="B173" s="24" t="n">
        <x:v>61</x:v>
      </x:c>
      <x:c r="C173" s="24" t="n">
        <x:v>0</x:v>
      </x:c>
      <x:c r="D173" s="26" t="n">
        <x:v>0</x:v>
      </x:c>
      <x:c r="E173" s="24" t="n">
        <x:f>B173-C173</x:f>
        <x:v>61</x:v>
      </x:c>
      <x:c r="F173" s="25" t="n">
        <x:f>C173/B173</x:f>
        <x:v>0</x:v>
      </x:c>
      <x:c r="G173" s="23" t="str">
        <x:f>IF(B173&gt;$B$5,"Yes","No")</x:f>
        <x:v>No</x:v>
      </x:c>
      <x:c r="H173" s="23" t="str">
        <x:f>IF(F173&gt;$B$4,"Yes","No")</x:f>
        <x:v>No</x:v>
      </x:c>
      <x:c r="I173" s="23" t="str">
        <x:f>IF(AND(G173="Yes",H173="Yes"),"Top-right","Other")</x:f>
        <x:v>Other</x:v>
      </x:c>
    </x:row>
    <x:row r="174">
      <x:c r="A174" s="23" t="str">
        <x:v>Shanahan-Lehner</x:v>
      </x:c>
      <x:c r="B174" s="24" t="n">
        <x:v>61</x:v>
      </x:c>
      <x:c r="C174" s="24" t="n">
        <x:v>0</x:v>
      </x:c>
      <x:c r="D174" s="26" t="n">
        <x:v>0</x:v>
      </x:c>
      <x:c r="E174" s="24" t="n">
        <x:f>B174-C174</x:f>
        <x:v>61</x:v>
      </x:c>
      <x:c r="F174" s="25" t="n">
        <x:f>C174/B174</x:f>
        <x:v>0</x:v>
      </x:c>
      <x:c r="G174" s="23" t="str">
        <x:f>IF(B174&gt;$B$5,"Yes","No")</x:f>
        <x:v>No</x:v>
      </x:c>
      <x:c r="H174" s="23" t="str">
        <x:f>IF(F174&gt;$B$4,"Yes","No")</x:f>
        <x:v>No</x:v>
      </x:c>
      <x:c r="I174" s="23" t="str">
        <x:f>IF(AND(G174="Yes",H174="Yes"),"Top-right","Other")</x:f>
        <x:v>Other</x:v>
      </x:c>
    </x:row>
    <x:row r="175">
      <x:c r="A175" s="23" t="str">
        <x:v>Sporer Inc</x:v>
      </x:c>
      <x:c r="B175" s="24" t="n">
        <x:v>61</x:v>
      </x:c>
      <x:c r="C175" s="24" t="n">
        <x:v>0</x:v>
      </x:c>
      <x:c r="D175" s="26" t="n">
        <x:v>0</x:v>
      </x:c>
      <x:c r="E175" s="24" t="n">
        <x:f>B175-C175</x:f>
        <x:v>61</x:v>
      </x:c>
      <x:c r="F175" s="25" t="n">
        <x:f>C175/B175</x:f>
        <x:v>0</x:v>
      </x:c>
      <x:c r="G175" s="23" t="str">
        <x:f>IF(B175&gt;$B$5,"Yes","No")</x:f>
        <x:v>No</x:v>
      </x:c>
      <x:c r="H175" s="23" t="str">
        <x:f>IF(F175&gt;$B$4,"Yes","No")</x:f>
        <x:v>No</x:v>
      </x:c>
      <x:c r="I175" s="23" t="str">
        <x:f>IF(AND(G175="Yes",H175="Yes"),"Top-right","Other")</x:f>
        <x:v>Other</x:v>
      </x:c>
    </x:row>
    <x:row r="176">
      <x:c r="A176" s="23" t="str">
        <x:v>Armstrong, Walter and Gottlieb</x:v>
      </x:c>
      <x:c r="B176" s="24" t="n">
        <x:v>62</x:v>
      </x:c>
      <x:c r="C176" s="24" t="n">
        <x:v>1</x:v>
      </x:c>
      <x:c r="D176" s="26" t="n">
        <x:v>110.89</x:v>
      </x:c>
      <x:c r="E176" s="24" t="n">
        <x:f>B176-C176</x:f>
        <x:v>61</x:v>
      </x:c>
      <x:c r="F176" s="25" t="n">
        <x:f>C176/B176</x:f>
        <x:v>0.016129032258064516</x:v>
      </x:c>
      <x:c r="G176" s="23" t="str">
        <x:f>IF(B176&gt;$B$5,"Yes","No")</x:f>
        <x:v>No</x:v>
      </x:c>
      <x:c r="H176" s="23" t="str">
        <x:f>IF(F176&gt;$B$4,"Yes","No")</x:f>
        <x:v>Yes</x:v>
      </x:c>
      <x:c r="I176" s="23" t="str">
        <x:f>IF(AND(G176="Yes",H176="Yes"),"Top-right","Other")</x:f>
        <x:v>Other</x:v>
      </x:c>
    </x:row>
    <x:row r="177">
      <x:c r="A177" s="23" t="str">
        <x:v>Cremin, Hamill and Reichel</x:v>
      </x:c>
      <x:c r="B177" s="24" t="n">
        <x:v>62</x:v>
      </x:c>
      <x:c r="C177" s="24" t="n">
        <x:v>0</x:v>
      </x:c>
      <x:c r="D177" s="26" t="n">
        <x:v>0</x:v>
      </x:c>
      <x:c r="E177" s="24" t="n">
        <x:f>B177-C177</x:f>
        <x:v>62</x:v>
      </x:c>
      <x:c r="F177" s="25" t="n">
        <x:f>C177/B177</x:f>
        <x:v>0</x:v>
      </x:c>
      <x:c r="G177" s="23" t="str">
        <x:f>IF(B177&gt;$B$5,"Yes","No")</x:f>
        <x:v>No</x:v>
      </x:c>
      <x:c r="H177" s="23" t="str">
        <x:f>IF(F177&gt;$B$4,"Yes","No")</x:f>
        <x:v>No</x:v>
      </x:c>
      <x:c r="I177" s="23" t="str">
        <x:f>IF(AND(G177="Yes",H177="Yes"),"Top-right","Other")</x:f>
        <x:v>Other</x:v>
      </x:c>
    </x:row>
    <x:row r="178">
      <x:c r="A178" s="23" t="str">
        <x:v>Feil-Morar</x:v>
      </x:c>
      <x:c r="B178" s="24" t="n">
        <x:v>62</x:v>
      </x:c>
      <x:c r="C178" s="24" t="n">
        <x:v>0</x:v>
      </x:c>
      <x:c r="D178" s="26" t="n">
        <x:v>0</x:v>
      </x:c>
      <x:c r="E178" s="24" t="n">
        <x:f>B178-C178</x:f>
        <x:v>62</x:v>
      </x:c>
      <x:c r="F178" s="25" t="n">
        <x:f>C178/B178</x:f>
        <x:v>0</x:v>
      </x:c>
      <x:c r="G178" s="23" t="str">
        <x:f>IF(B178&gt;$B$5,"Yes","No")</x:f>
        <x:v>No</x:v>
      </x:c>
      <x:c r="H178" s="23" t="str">
        <x:f>IF(F178&gt;$B$4,"Yes","No")</x:f>
        <x:v>No</x:v>
      </x:c>
      <x:c r="I178" s="23" t="str">
        <x:f>IF(AND(G178="Yes",H178="Yes"),"Top-right","Other")</x:f>
        <x:v>Other</x:v>
      </x:c>
    </x:row>
    <x:row r="179">
      <x:c r="A179" s="23" t="str">
        <x:v>Haley, Batz and Auer</x:v>
      </x:c>
      <x:c r="B179" s="24" t="n">
        <x:v>62</x:v>
      </x:c>
      <x:c r="C179" s="24" t="n">
        <x:v>0</x:v>
      </x:c>
      <x:c r="D179" s="26" t="n">
        <x:v>0</x:v>
      </x:c>
      <x:c r="E179" s="24" t="n">
        <x:f>B179-C179</x:f>
        <x:v>62</x:v>
      </x:c>
      <x:c r="F179" s="25" t="n">
        <x:f>C179/B179</x:f>
        <x:v>0</x:v>
      </x:c>
      <x:c r="G179" s="23" t="str">
        <x:f>IF(B179&gt;$B$5,"Yes","No")</x:f>
        <x:v>No</x:v>
      </x:c>
      <x:c r="H179" s="23" t="str">
        <x:f>IF(F179&gt;$B$4,"Yes","No")</x:f>
        <x:v>No</x:v>
      </x:c>
      <x:c r="I179" s="23" t="str">
        <x:f>IF(AND(G179="Yes",H179="Yes"),"Top-right","Other")</x:f>
        <x:v>Other</x:v>
      </x:c>
    </x:row>
    <x:row r="180">
      <x:c r="A180" s="23" t="str">
        <x:v>Herzog Ltd</x:v>
      </x:c>
      <x:c r="B180" s="24" t="n">
        <x:v>62</x:v>
      </x:c>
      <x:c r="C180" s="24" t="n">
        <x:v>0</x:v>
      </x:c>
      <x:c r="D180" s="26" t="n">
        <x:v>0</x:v>
      </x:c>
      <x:c r="E180" s="24" t="n">
        <x:f>B180-C180</x:f>
        <x:v>62</x:v>
      </x:c>
      <x:c r="F180" s="25" t="n">
        <x:f>C180/B180</x:f>
        <x:v>0</x:v>
      </x:c>
      <x:c r="G180" s="23" t="str">
        <x:f>IF(B180&gt;$B$5,"Yes","No")</x:f>
        <x:v>No</x:v>
      </x:c>
      <x:c r="H180" s="23" t="str">
        <x:f>IF(F180&gt;$B$4,"Yes","No")</x:f>
        <x:v>No</x:v>
      </x:c>
      <x:c r="I180" s="23" t="str">
        <x:f>IF(AND(G180="Yes",H180="Yes"),"Top-right","Other")</x:f>
        <x:v>Other</x:v>
      </x:c>
    </x:row>
    <x:row r="181">
      <x:c r="A181" s="23" t="str">
        <x:v>Hills-Boyer</x:v>
      </x:c>
      <x:c r="B181" s="24" t="n">
        <x:v>62</x:v>
      </x:c>
      <x:c r="C181" s="24" t="n">
        <x:v>0</x:v>
      </x:c>
      <x:c r="D181" s="26" t="n">
        <x:v>0</x:v>
      </x:c>
      <x:c r="E181" s="24" t="n">
        <x:f>B181-C181</x:f>
        <x:v>62</x:v>
      </x:c>
      <x:c r="F181" s="25" t="n">
        <x:f>C181/B181</x:f>
        <x:v>0</x:v>
      </x:c>
      <x:c r="G181" s="23" t="str">
        <x:f>IF(B181&gt;$B$5,"Yes","No")</x:f>
        <x:v>No</x:v>
      </x:c>
      <x:c r="H181" s="23" t="str">
        <x:f>IF(F181&gt;$B$4,"Yes","No")</x:f>
        <x:v>No</x:v>
      </x:c>
      <x:c r="I181" s="23" t="str">
        <x:f>IF(AND(G181="Yes",H181="Yes"),"Top-right","Other")</x:f>
        <x:v>Other</x:v>
      </x:c>
    </x:row>
    <x:row r="182">
      <x:c r="A182" s="23" t="str">
        <x:v>Hills, Hegmann and Schaefer</x:v>
      </x:c>
      <x:c r="B182" s="24" t="n">
        <x:v>62</x:v>
      </x:c>
      <x:c r="C182" s="24" t="n">
        <x:v>0</x:v>
      </x:c>
      <x:c r="D182" s="26" t="n">
        <x:v>0</x:v>
      </x:c>
      <x:c r="E182" s="24" t="n">
        <x:f>B182-C182</x:f>
        <x:v>62</x:v>
      </x:c>
      <x:c r="F182" s="25" t="n">
        <x:f>C182/B182</x:f>
        <x:v>0</x:v>
      </x:c>
      <x:c r="G182" s="23" t="str">
        <x:f>IF(B182&gt;$B$5,"Yes","No")</x:f>
        <x:v>No</x:v>
      </x:c>
      <x:c r="H182" s="23" t="str">
        <x:f>IF(F182&gt;$B$4,"Yes","No")</x:f>
        <x:v>No</x:v>
      </x:c>
      <x:c r="I182" s="23" t="str">
        <x:f>IF(AND(G182="Yes",H182="Yes"),"Top-right","Other")</x:f>
        <x:v>Other</x:v>
      </x:c>
    </x:row>
    <x:row r="183">
      <x:c r="A183" s="23" t="str">
        <x:v>Johns Inc</x:v>
      </x:c>
      <x:c r="B183" s="24" t="n">
        <x:v>62</x:v>
      </x:c>
      <x:c r="C183" s="24" t="n">
        <x:v>0</x:v>
      </x:c>
      <x:c r="D183" s="26" t="n">
        <x:v>0</x:v>
      </x:c>
      <x:c r="E183" s="24" t="n">
        <x:f>B183-C183</x:f>
        <x:v>62</x:v>
      </x:c>
      <x:c r="F183" s="25" t="n">
        <x:f>C183/B183</x:f>
        <x:v>0</x:v>
      </x:c>
      <x:c r="G183" s="23" t="str">
        <x:f>IF(B183&gt;$B$5,"Yes","No")</x:f>
        <x:v>No</x:v>
      </x:c>
      <x:c r="H183" s="23" t="str">
        <x:f>IF(F183&gt;$B$4,"Yes","No")</x:f>
        <x:v>No</x:v>
      </x:c>
      <x:c r="I183" s="23" t="str">
        <x:f>IF(AND(G183="Yes",H183="Yes"),"Top-right","Other")</x:f>
        <x:v>Other</x:v>
      </x:c>
    </x:row>
    <x:row r="184">
      <x:c r="A184" s="23" t="str">
        <x:v>Klocko, Runolfsdottir and Breitenberg</x:v>
      </x:c>
      <x:c r="B184" s="24" t="n">
        <x:v>62</x:v>
      </x:c>
      <x:c r="C184" s="24" t="n">
        <x:v>1</x:v>
      </x:c>
      <x:c r="D184" s="26" t="n">
        <x:v>17.95</x:v>
      </x:c>
      <x:c r="E184" s="24" t="n">
        <x:f>B184-C184</x:f>
        <x:v>61</x:v>
      </x:c>
      <x:c r="F184" s="25" t="n">
        <x:f>C184/B184</x:f>
        <x:v>0.016129032258064516</x:v>
      </x:c>
      <x:c r="G184" s="23" t="str">
        <x:f>IF(B184&gt;$B$5,"Yes","No")</x:f>
        <x:v>No</x:v>
      </x:c>
      <x:c r="H184" s="23" t="str">
        <x:f>IF(F184&gt;$B$4,"Yes","No")</x:f>
        <x:v>Yes</x:v>
      </x:c>
      <x:c r="I184" s="23" t="str">
        <x:f>IF(AND(G184="Yes",H184="Yes"),"Top-right","Other")</x:f>
        <x:v>Other</x:v>
      </x:c>
    </x:row>
    <x:row r="185">
      <x:c r="A185" s="23" t="str">
        <x:v>Labadie, Treutel and Bode</x:v>
      </x:c>
      <x:c r="B185" s="24" t="n">
        <x:v>62</x:v>
      </x:c>
      <x:c r="C185" s="24" t="n">
        <x:v>0</x:v>
      </x:c>
      <x:c r="D185" s="26" t="n">
        <x:v>0</x:v>
      </x:c>
      <x:c r="E185" s="24" t="n">
        <x:f>B185-C185</x:f>
        <x:v>62</x:v>
      </x:c>
      <x:c r="F185" s="25" t="n">
        <x:f>C185/B185</x:f>
        <x:v>0</x:v>
      </x:c>
      <x:c r="G185" s="23" t="str">
        <x:f>IF(B185&gt;$B$5,"Yes","No")</x:f>
        <x:v>No</x:v>
      </x:c>
      <x:c r="H185" s="23" t="str">
        <x:f>IF(F185&gt;$B$4,"Yes","No")</x:f>
        <x:v>No</x:v>
      </x:c>
      <x:c r="I185" s="23" t="str">
        <x:f>IF(AND(G185="Yes",H185="Yes"),"Top-right","Other")</x:f>
        <x:v>Other</x:v>
      </x:c>
    </x:row>
    <x:row r="186">
      <x:c r="A186" s="23" t="str">
        <x:v>Marvin-Lind</x:v>
      </x:c>
      <x:c r="B186" s="24" t="n">
        <x:v>62</x:v>
      </x:c>
      <x:c r="C186" s="24" t="n">
        <x:v>0</x:v>
      </x:c>
      <x:c r="D186" s="26" t="n">
        <x:v>0</x:v>
      </x:c>
      <x:c r="E186" s="24" t="n">
        <x:f>B186-C186</x:f>
        <x:v>62</x:v>
      </x:c>
      <x:c r="F186" s="25" t="n">
        <x:f>C186/B186</x:f>
        <x:v>0</x:v>
      </x:c>
      <x:c r="G186" s="23" t="str">
        <x:f>IF(B186&gt;$B$5,"Yes","No")</x:f>
        <x:v>No</x:v>
      </x:c>
      <x:c r="H186" s="23" t="str">
        <x:f>IF(F186&gt;$B$4,"Yes","No")</x:f>
        <x:v>No</x:v>
      </x:c>
      <x:c r="I186" s="23" t="str">
        <x:f>IF(AND(G186="Yes",H186="Yes"),"Top-right","Other")</x:f>
        <x:v>Other</x:v>
      </x:c>
    </x:row>
    <x:row r="187">
      <x:c r="A187" s="23" t="str">
        <x:v>Mohr-Bayer</x:v>
      </x:c>
      <x:c r="B187" s="24" t="n">
        <x:v>62</x:v>
      </x:c>
      <x:c r="C187" s="24" t="n">
        <x:v>0</x:v>
      </x:c>
      <x:c r="D187" s="26" t="n">
        <x:v>0</x:v>
      </x:c>
      <x:c r="E187" s="24" t="n">
        <x:f>B187-C187</x:f>
        <x:v>62</x:v>
      </x:c>
      <x:c r="F187" s="25" t="n">
        <x:f>C187/B187</x:f>
        <x:v>0</x:v>
      </x:c>
      <x:c r="G187" s="23" t="str">
        <x:f>IF(B187&gt;$B$5,"Yes","No")</x:f>
        <x:v>No</x:v>
      </x:c>
      <x:c r="H187" s="23" t="str">
        <x:f>IF(F187&gt;$B$4,"Yes","No")</x:f>
        <x:v>No</x:v>
      </x:c>
      <x:c r="I187" s="23" t="str">
        <x:f>IF(AND(G187="Yes",H187="Yes"),"Top-right","Other")</x:f>
        <x:v>Other</x:v>
      </x:c>
    </x:row>
    <x:row r="188">
      <x:c r="A188" s="23" t="str">
        <x:v>O'Keefe-Hudson</x:v>
      </x:c>
      <x:c r="B188" s="24" t="n">
        <x:v>62</x:v>
      </x:c>
      <x:c r="C188" s="24" t="n">
        <x:v>0</x:v>
      </x:c>
      <x:c r="D188" s="26" t="n">
        <x:v>0</x:v>
      </x:c>
      <x:c r="E188" s="24" t="n">
        <x:f>B188-C188</x:f>
        <x:v>62</x:v>
      </x:c>
      <x:c r="F188" s="25" t="n">
        <x:f>C188/B188</x:f>
        <x:v>0</x:v>
      </x:c>
      <x:c r="G188" s="23" t="str">
        <x:f>IF(B188&gt;$B$5,"Yes","No")</x:f>
        <x:v>No</x:v>
      </x:c>
      <x:c r="H188" s="23" t="str">
        <x:f>IF(F188&gt;$B$4,"Yes","No")</x:f>
        <x:v>No</x:v>
      </x:c>
      <x:c r="I188" s="23" t="str">
        <x:f>IF(AND(G188="Yes",H188="Yes"),"Top-right","Other")</x:f>
        <x:v>Other</x:v>
      </x:c>
    </x:row>
    <x:row r="189">
      <x:c r="A189" s="23" t="str">
        <x:v>Turcotte, McKenzie and Koss</x:v>
      </x:c>
      <x:c r="B189" s="24" t="n">
        <x:v>62</x:v>
      </x:c>
      <x:c r="C189" s="24" t="n">
        <x:v>0</x:v>
      </x:c>
      <x:c r="D189" s="26" t="n">
        <x:v>0</x:v>
      </x:c>
      <x:c r="E189" s="24" t="n">
        <x:f>B189-C189</x:f>
        <x:v>62</x:v>
      </x:c>
      <x:c r="F189" s="25" t="n">
        <x:f>C189/B189</x:f>
        <x:v>0</x:v>
      </x:c>
      <x:c r="G189" s="23" t="str">
        <x:f>IF(B189&gt;$B$5,"Yes","No")</x:f>
        <x:v>No</x:v>
      </x:c>
      <x:c r="H189" s="23" t="str">
        <x:f>IF(F189&gt;$B$4,"Yes","No")</x:f>
        <x:v>No</x:v>
      </x:c>
      <x:c r="I189" s="23" t="str">
        <x:f>IF(AND(G189="Yes",H189="Yes"),"Top-right","Other")</x:f>
        <x:v>Other</x:v>
      </x:c>
    </x:row>
    <x:row r="190">
      <x:c r="A190" s="23" t="str">
        <x:v>Volkman-Predovic</x:v>
      </x:c>
      <x:c r="B190" s="24" t="n">
        <x:v>62</x:v>
      </x:c>
      <x:c r="C190" s="24" t="n">
        <x:v>0</x:v>
      </x:c>
      <x:c r="D190" s="26" t="n">
        <x:v>0</x:v>
      </x:c>
      <x:c r="E190" s="24" t="n">
        <x:f>B190-C190</x:f>
        <x:v>62</x:v>
      </x:c>
      <x:c r="F190" s="25" t="n">
        <x:f>C190/B190</x:f>
        <x:v>0</x:v>
      </x:c>
      <x:c r="G190" s="23" t="str">
        <x:f>IF(B190&gt;$B$5,"Yes","No")</x:f>
        <x:v>No</x:v>
      </x:c>
      <x:c r="H190" s="23" t="str">
        <x:f>IF(F190&gt;$B$4,"Yes","No")</x:f>
        <x:v>No</x:v>
      </x:c>
      <x:c r="I190" s="23" t="str">
        <x:f>IF(AND(G190="Yes",H190="Yes"),"Top-right","Other")</x:f>
        <x:v>Other</x:v>
      </x:c>
    </x:row>
    <x:row r="191">
      <x:c r="A191" s="23" t="str">
        <x:v>Wilkinson PLC</x:v>
      </x:c>
      <x:c r="B191" s="24" t="n">
        <x:v>62</x:v>
      </x:c>
      <x:c r="C191" s="24" t="n">
        <x:v>0</x:v>
      </x:c>
      <x:c r="D191" s="26" t="n">
        <x:v>0</x:v>
      </x:c>
      <x:c r="E191" s="24" t="n">
        <x:f>B191-C191</x:f>
        <x:v>62</x:v>
      </x:c>
      <x:c r="F191" s="25" t="n">
        <x:f>C191/B191</x:f>
        <x:v>0</x:v>
      </x:c>
      <x:c r="G191" s="23" t="str">
        <x:f>IF(B191&gt;$B$5,"Yes","No")</x:f>
        <x:v>No</x:v>
      </x:c>
      <x:c r="H191" s="23" t="str">
        <x:f>IF(F191&gt;$B$4,"Yes","No")</x:f>
        <x:v>No</x:v>
      </x:c>
      <x:c r="I191" s="23" t="str">
        <x:f>IF(AND(G191="Yes",H191="Yes"),"Top-right","Other")</x:f>
        <x:v>Other</x:v>
      </x:c>
    </x:row>
    <x:row r="192">
      <x:c r="A192" s="23" t="str">
        <x:v>Yost, Block and Koepp</x:v>
      </x:c>
      <x:c r="B192" s="24" t="n">
        <x:v>62</x:v>
      </x:c>
      <x:c r="C192" s="24" t="n">
        <x:v>0</x:v>
      </x:c>
      <x:c r="D192" s="26" t="n">
        <x:v>0</x:v>
      </x:c>
      <x:c r="E192" s="24" t="n">
        <x:f>B192-C192</x:f>
        <x:v>62</x:v>
      </x:c>
      <x:c r="F192" s="25" t="n">
        <x:f>C192/B192</x:f>
        <x:v>0</x:v>
      </x:c>
      <x:c r="G192" s="23" t="str">
        <x:f>IF(B192&gt;$B$5,"Yes","No")</x:f>
        <x:v>No</x:v>
      </x:c>
      <x:c r="H192" s="23" t="str">
        <x:f>IF(F192&gt;$B$4,"Yes","No")</x:f>
        <x:v>No</x:v>
      </x:c>
      <x:c r="I192" s="23" t="str">
        <x:f>IF(AND(G192="Yes",H192="Yes"),"Top-right","Other")</x:f>
        <x:v>Other</x:v>
      </x:c>
    </x:row>
    <x:row r="193">
      <x:c r="A193" s="23" t="str">
        <x:v>Brown Inc</x:v>
      </x:c>
      <x:c r="B193" s="24" t="n">
        <x:v>63</x:v>
      </x:c>
      <x:c r="C193" s="24" t="n">
        <x:v>0</x:v>
      </x:c>
      <x:c r="D193" s="26" t="n">
        <x:v>0</x:v>
      </x:c>
      <x:c r="E193" s="24" t="n">
        <x:f>B193-C193</x:f>
        <x:v>63</x:v>
      </x:c>
      <x:c r="F193" s="25" t="n">
        <x:f>C193/B193</x:f>
        <x:v>0</x:v>
      </x:c>
      <x:c r="G193" s="23" t="str">
        <x:f>IF(B193&gt;$B$5,"Yes","No")</x:f>
        <x:v>No</x:v>
      </x:c>
      <x:c r="H193" s="23" t="str">
        <x:f>IF(F193&gt;$B$4,"Yes","No")</x:f>
        <x:v>No</x:v>
      </x:c>
      <x:c r="I193" s="23" t="str">
        <x:f>IF(AND(G193="Yes",H193="Yes"),"Top-right","Other")</x:f>
        <x:v>Other</x:v>
      </x:c>
    </x:row>
    <x:row r="194">
      <x:c r="A194" s="23" t="str">
        <x:v>Daugherty LLC</x:v>
      </x:c>
      <x:c r="B194" s="24" t="n">
        <x:v>63</x:v>
      </x:c>
      <x:c r="C194" s="24" t="n">
        <x:v>0</x:v>
      </x:c>
      <x:c r="D194" s="26" t="n">
        <x:v>0</x:v>
      </x:c>
      <x:c r="E194" s="24" t="n">
        <x:f>B194-C194</x:f>
        <x:v>63</x:v>
      </x:c>
      <x:c r="F194" s="25" t="n">
        <x:f>C194/B194</x:f>
        <x:v>0</x:v>
      </x:c>
      <x:c r="G194" s="23" t="str">
        <x:f>IF(B194&gt;$B$5,"Yes","No")</x:f>
        <x:v>No</x:v>
      </x:c>
      <x:c r="H194" s="23" t="str">
        <x:f>IF(F194&gt;$B$4,"Yes","No")</x:f>
        <x:v>No</x:v>
      </x:c>
      <x:c r="I194" s="23" t="str">
        <x:f>IF(AND(G194="Yes",H194="Yes"),"Top-right","Other")</x:f>
        <x:v>Other</x:v>
      </x:c>
    </x:row>
    <x:row r="195">
      <x:c r="A195" s="23" t="str">
        <x:v>Goldner-Lemke</x:v>
      </x:c>
      <x:c r="B195" s="24" t="n">
        <x:v>63</x:v>
      </x:c>
      <x:c r="C195" s="24" t="n">
        <x:v>0</x:v>
      </x:c>
      <x:c r="D195" s="26" t="n">
        <x:v>0</x:v>
      </x:c>
      <x:c r="E195" s="24" t="n">
        <x:f>B195-C195</x:f>
        <x:v>63</x:v>
      </x:c>
      <x:c r="F195" s="25" t="n">
        <x:f>C195/B195</x:f>
        <x:v>0</x:v>
      </x:c>
      <x:c r="G195" s="23" t="str">
        <x:f>IF(B195&gt;$B$5,"Yes","No")</x:f>
        <x:v>No</x:v>
      </x:c>
      <x:c r="H195" s="23" t="str">
        <x:f>IF(F195&gt;$B$4,"Yes","No")</x:f>
        <x:v>No</x:v>
      </x:c>
      <x:c r="I195" s="23" t="str">
        <x:f>IF(AND(G195="Yes",H195="Yes"),"Top-right","Other")</x:f>
        <x:v>Other</x:v>
      </x:c>
    </x:row>
    <x:row r="196">
      <x:c r="A196" s="23" t="str">
        <x:v>Goyette-Gerhold</x:v>
      </x:c>
      <x:c r="B196" s="24" t="n">
        <x:v>63</x:v>
      </x:c>
      <x:c r="C196" s="24" t="n">
        <x:v>0</x:v>
      </x:c>
      <x:c r="D196" s="26" t="n">
        <x:v>0</x:v>
      </x:c>
      <x:c r="E196" s="24" t="n">
        <x:f>B196-C196</x:f>
        <x:v>63</x:v>
      </x:c>
      <x:c r="F196" s="25" t="n">
        <x:f>C196/B196</x:f>
        <x:v>0</x:v>
      </x:c>
      <x:c r="G196" s="23" t="str">
        <x:f>IF(B196&gt;$B$5,"Yes","No")</x:f>
        <x:v>No</x:v>
      </x:c>
      <x:c r="H196" s="23" t="str">
        <x:f>IF(F196&gt;$B$4,"Yes","No")</x:f>
        <x:v>No</x:v>
      </x:c>
      <x:c r="I196" s="23" t="str">
        <x:f>IF(AND(G196="Yes",H196="Yes"),"Top-right","Other")</x:f>
        <x:v>Other</x:v>
      </x:c>
    </x:row>
    <x:row r="197">
      <x:c r="A197" s="23" t="str">
        <x:v>Hoppe-Parisian</x:v>
      </x:c>
      <x:c r="B197" s="24" t="n">
        <x:v>63</x:v>
      </x:c>
      <x:c r="C197" s="24" t="n">
        <x:v>0</x:v>
      </x:c>
      <x:c r="D197" s="26" t="n">
        <x:v>0</x:v>
      </x:c>
      <x:c r="E197" s="24" t="n">
        <x:f>B197-C197</x:f>
        <x:v>63</x:v>
      </x:c>
      <x:c r="F197" s="25" t="n">
        <x:f>C197/B197</x:f>
        <x:v>0</x:v>
      </x:c>
      <x:c r="G197" s="23" t="str">
        <x:f>IF(B197&gt;$B$5,"Yes","No")</x:f>
        <x:v>No</x:v>
      </x:c>
      <x:c r="H197" s="23" t="str">
        <x:f>IF(F197&gt;$B$4,"Yes","No")</x:f>
        <x:v>No</x:v>
      </x:c>
      <x:c r="I197" s="23" t="str">
        <x:f>IF(AND(G197="Yes",H197="Yes"),"Top-right","Other")</x:f>
        <x:v>Other</x:v>
      </x:c>
    </x:row>
    <x:row r="198">
      <x:c r="A198" s="23" t="str">
        <x:v>Hoppe, Harris and Bednar</x:v>
      </x:c>
      <x:c r="B198" s="24" t="n">
        <x:v>63</x:v>
      </x:c>
      <x:c r="C198" s="24" t="n">
        <x:v>0</x:v>
      </x:c>
      <x:c r="D198" s="26" t="n">
        <x:v>0</x:v>
      </x:c>
      <x:c r="E198" s="24" t="n">
        <x:f>B198-C198</x:f>
        <x:v>63</x:v>
      </x:c>
      <x:c r="F198" s="25" t="n">
        <x:f>C198/B198</x:f>
        <x:v>0</x:v>
      </x:c>
      <x:c r="G198" s="23" t="str">
        <x:f>IF(B198&gt;$B$5,"Yes","No")</x:f>
        <x:v>No</x:v>
      </x:c>
      <x:c r="H198" s="23" t="str">
        <x:f>IF(F198&gt;$B$4,"Yes","No")</x:f>
        <x:v>No</x:v>
      </x:c>
      <x:c r="I198" s="23" t="str">
        <x:f>IF(AND(G198="Yes",H198="Yes"),"Top-right","Other")</x:f>
        <x:v>Other</x:v>
      </x:c>
    </x:row>
    <x:row r="199">
      <x:c r="A199" s="23" t="str">
        <x:v>Kilback Group</x:v>
      </x:c>
      <x:c r="B199" s="24" t="n">
        <x:v>63</x:v>
      </x:c>
      <x:c r="C199" s="24" t="n">
        <x:v>0</x:v>
      </x:c>
      <x:c r="D199" s="26" t="n">
        <x:v>0</x:v>
      </x:c>
      <x:c r="E199" s="24" t="n">
        <x:f>B199-C199</x:f>
        <x:v>63</x:v>
      </x:c>
      <x:c r="F199" s="25" t="n">
        <x:f>C199/B199</x:f>
        <x:v>0</x:v>
      </x:c>
      <x:c r="G199" s="23" t="str">
        <x:f>IF(B199&gt;$B$5,"Yes","No")</x:f>
        <x:v>No</x:v>
      </x:c>
      <x:c r="H199" s="23" t="str">
        <x:f>IF(F199&gt;$B$4,"Yes","No")</x:f>
        <x:v>No</x:v>
      </x:c>
      <x:c r="I199" s="23" t="str">
        <x:f>IF(AND(G199="Yes",H199="Yes"),"Top-right","Other")</x:f>
        <x:v>Other</x:v>
      </x:c>
    </x:row>
    <x:row r="200">
      <x:c r="A200" s="23" t="str">
        <x:v>Langworth, Boehm and Gulgowski</x:v>
      </x:c>
      <x:c r="B200" s="24" t="n">
        <x:v>63</x:v>
      </x:c>
      <x:c r="C200" s="24" t="n">
        <x:v>1</x:v>
      </x:c>
      <x:c r="D200" s="26" t="n">
        <x:v>1166.02</x:v>
      </x:c>
      <x:c r="E200" s="24" t="n">
        <x:f>B200-C200</x:f>
        <x:v>62</x:v>
      </x:c>
      <x:c r="F200" s="25" t="n">
        <x:f>C200/B200</x:f>
        <x:v>0.015873015873015872</x:v>
      </x:c>
      <x:c r="G200" s="23" t="str">
        <x:f>IF(B200&gt;$B$5,"Yes","No")</x:f>
        <x:v>No</x:v>
      </x:c>
      <x:c r="H200" s="23" t="str">
        <x:f>IF(F200&gt;$B$4,"Yes","No")</x:f>
        <x:v>Yes</x:v>
      </x:c>
      <x:c r="I200" s="23" t="str">
        <x:f>IF(AND(G200="Yes",H200="Yes"),"Top-right","Other")</x:f>
        <x:v>Other</x:v>
      </x:c>
    </x:row>
    <x:row r="201">
      <x:c r="A201" s="23" t="str">
        <x:v>Morissette LLC</x:v>
      </x:c>
      <x:c r="B201" s="24" t="n">
        <x:v>63</x:v>
      </x:c>
      <x:c r="C201" s="24" t="n">
        <x:v>0</x:v>
      </x:c>
      <x:c r="D201" s="26" t="n">
        <x:v>0</x:v>
      </x:c>
      <x:c r="E201" s="24" t="n">
        <x:f>B201-C201</x:f>
        <x:v>63</x:v>
      </x:c>
      <x:c r="F201" s="25" t="n">
        <x:f>C201/B201</x:f>
        <x:v>0</x:v>
      </x:c>
      <x:c r="G201" s="23" t="str">
        <x:f>IF(B201&gt;$B$5,"Yes","No")</x:f>
        <x:v>No</x:v>
      </x:c>
      <x:c r="H201" s="23" t="str">
        <x:f>IF(F201&gt;$B$4,"Yes","No")</x:f>
        <x:v>No</x:v>
      </x:c>
      <x:c r="I201" s="23" t="str">
        <x:f>IF(AND(G201="Yes",H201="Yes"),"Top-right","Other")</x:f>
        <x:v>Other</x:v>
      </x:c>
    </x:row>
    <x:row r="202">
      <x:c r="A202" s="23" t="str">
        <x:v>Price Inc</x:v>
      </x:c>
      <x:c r="B202" s="24" t="n">
        <x:v>63</x:v>
      </x:c>
      <x:c r="C202" s="24" t="n">
        <x:v>1</x:v>
      </x:c>
      <x:c r="D202" s="26" t="n">
        <x:v>1110.64</x:v>
      </x:c>
      <x:c r="E202" s="24" t="n">
        <x:f>B202-C202</x:f>
        <x:v>62</x:v>
      </x:c>
      <x:c r="F202" s="25" t="n">
        <x:f>C202/B202</x:f>
        <x:v>0.015873015873015872</x:v>
      </x:c>
      <x:c r="G202" s="23" t="str">
        <x:f>IF(B202&gt;$B$5,"Yes","No")</x:f>
        <x:v>No</x:v>
      </x:c>
      <x:c r="H202" s="23" t="str">
        <x:f>IF(F202&gt;$B$4,"Yes","No")</x:f>
        <x:v>Yes</x:v>
      </x:c>
      <x:c r="I202" s="23" t="str">
        <x:f>IF(AND(G202="Yes",H202="Yes"),"Top-right","Other")</x:f>
        <x:v>Other</x:v>
      </x:c>
    </x:row>
    <x:row r="203">
      <x:c r="A203" s="23" t="str">
        <x:v>Reichert, Rowe and Mraz</x:v>
      </x:c>
      <x:c r="B203" s="24" t="n">
        <x:v>63</x:v>
      </x:c>
      <x:c r="C203" s="24" t="n">
        <x:v>0</x:v>
      </x:c>
      <x:c r="D203" s="26" t="n">
        <x:v>0</x:v>
      </x:c>
      <x:c r="E203" s="24" t="n">
        <x:f>B203-C203</x:f>
        <x:v>63</x:v>
      </x:c>
      <x:c r="F203" s="25" t="n">
        <x:f>C203/B203</x:f>
        <x:v>0</x:v>
      </x:c>
      <x:c r="G203" s="23" t="str">
        <x:f>IF(B203&gt;$B$5,"Yes","No")</x:f>
        <x:v>No</x:v>
      </x:c>
      <x:c r="H203" s="23" t="str">
        <x:f>IF(F203&gt;$B$4,"Yes","No")</x:f>
        <x:v>No</x:v>
      </x:c>
      <x:c r="I203" s="23" t="str">
        <x:f>IF(AND(G203="Yes",H203="Yes"),"Top-right","Other")</x:f>
        <x:v>Other</x:v>
      </x:c>
    </x:row>
    <x:row r="204">
      <x:c r="A204" s="23" t="str">
        <x:v>Swaniawski, Lowe and Robel</x:v>
      </x:c>
      <x:c r="B204" s="24" t="n">
        <x:v>63</x:v>
      </x:c>
      <x:c r="C204" s="24" t="n">
        <x:v>1</x:v>
      </x:c>
      <x:c r="D204" s="26" t="n">
        <x:v>813.46</x:v>
      </x:c>
      <x:c r="E204" s="24" t="n">
        <x:f>B204-C204</x:f>
        <x:v>62</x:v>
      </x:c>
      <x:c r="F204" s="25" t="n">
        <x:f>C204/B204</x:f>
        <x:v>0.015873015873015872</x:v>
      </x:c>
      <x:c r="G204" s="23" t="str">
        <x:f>IF(B204&gt;$B$5,"Yes","No")</x:f>
        <x:v>No</x:v>
      </x:c>
      <x:c r="H204" s="23" t="str">
        <x:f>IF(F204&gt;$B$4,"Yes","No")</x:f>
        <x:v>Yes</x:v>
      </x:c>
      <x:c r="I204" s="23" t="str">
        <x:f>IF(AND(G204="Yes",H204="Yes"),"Top-right","Other")</x:f>
        <x:v>Other</x:v>
      </x:c>
    </x:row>
    <x:row r="205">
      <x:c r="A205" s="23" t="str">
        <x:v>Terry-Huel</x:v>
      </x:c>
      <x:c r="B205" s="24" t="n">
        <x:v>63</x:v>
      </x:c>
      <x:c r="C205" s="24" t="n">
        <x:v>2</x:v>
      </x:c>
      <x:c r="D205" s="26" t="n">
        <x:v>2069.53</x:v>
      </x:c>
      <x:c r="E205" s="24" t="n">
        <x:f>B205-C205</x:f>
        <x:v>61</x:v>
      </x:c>
      <x:c r="F205" s="25" t="n">
        <x:f>C205/B205</x:f>
        <x:v>0.031746031746031744</x:v>
      </x:c>
      <x:c r="G205" s="23" t="str">
        <x:f>IF(B205&gt;$B$5,"Yes","No")</x:f>
        <x:v>No</x:v>
      </x:c>
      <x:c r="H205" s="23" t="str">
        <x:f>IF(F205&gt;$B$4,"Yes","No")</x:f>
        <x:v>Yes</x:v>
      </x:c>
      <x:c r="I205" s="23" t="str">
        <x:f>IF(AND(G205="Yes",H205="Yes"),"Top-right","Other")</x:f>
        <x:v>Other</x:v>
      </x:c>
    </x:row>
    <x:row r="206">
      <x:c r="A206" s="23" t="str">
        <x:v>Waelchi Inc</x:v>
      </x:c>
      <x:c r="B206" s="24" t="n">
        <x:v>63</x:v>
      </x:c>
      <x:c r="C206" s="24" t="n">
        <x:v>1</x:v>
      </x:c>
      <x:c r="D206" s="26" t="n">
        <x:v>17.42</x:v>
      </x:c>
      <x:c r="E206" s="24" t="n">
        <x:f>B206-C206</x:f>
        <x:v>62</x:v>
      </x:c>
      <x:c r="F206" s="25" t="n">
        <x:f>C206/B206</x:f>
        <x:v>0.015873015873015872</x:v>
      </x:c>
      <x:c r="G206" s="23" t="str">
        <x:f>IF(B206&gt;$B$5,"Yes","No")</x:f>
        <x:v>No</x:v>
      </x:c>
      <x:c r="H206" s="23" t="str">
        <x:f>IF(F206&gt;$B$4,"Yes","No")</x:f>
        <x:v>Yes</x:v>
      </x:c>
      <x:c r="I206" s="23" t="str">
        <x:f>IF(AND(G206="Yes",H206="Yes"),"Top-right","Other")</x:f>
        <x:v>Other</x:v>
      </x:c>
    </x:row>
    <x:row r="207">
      <x:c r="A207" s="23" t="str">
        <x:v>Wilkinson Ltd</x:v>
      </x:c>
      <x:c r="B207" s="24" t="n">
        <x:v>63</x:v>
      </x:c>
      <x:c r="C207" s="24" t="n">
        <x:v>0</x:v>
      </x:c>
      <x:c r="D207" s="26" t="n">
        <x:v>0</x:v>
      </x:c>
      <x:c r="E207" s="24" t="n">
        <x:f>B207-C207</x:f>
        <x:v>63</x:v>
      </x:c>
      <x:c r="F207" s="25" t="n">
        <x:f>C207/B207</x:f>
        <x:v>0</x:v>
      </x:c>
      <x:c r="G207" s="23" t="str">
        <x:f>IF(B207&gt;$B$5,"Yes","No")</x:f>
        <x:v>No</x:v>
      </x:c>
      <x:c r="H207" s="23" t="str">
        <x:f>IF(F207&gt;$B$4,"Yes","No")</x:f>
        <x:v>No</x:v>
      </x:c>
      <x:c r="I207" s="23" t="str">
        <x:f>IF(AND(G207="Yes",H207="Yes"),"Top-right","Other")</x:f>
        <x:v>Other</x:v>
      </x:c>
    </x:row>
    <x:row r="208">
      <x:c r="A208" s="23" t="str">
        <x:v>Barton LLC</x:v>
      </x:c>
      <x:c r="B208" s="24" t="n">
        <x:v>64</x:v>
      </x:c>
      <x:c r="C208" s="24" t="n">
        <x:v>0</x:v>
      </x:c>
      <x:c r="D208" s="26" t="n">
        <x:v>0</x:v>
      </x:c>
      <x:c r="E208" s="24" t="n">
        <x:f>B208-C208</x:f>
        <x:v>64</x:v>
      </x:c>
      <x:c r="F208" s="25" t="n">
        <x:f>C208/B208</x:f>
        <x:v>0</x:v>
      </x:c>
      <x:c r="G208" s="23" t="str">
        <x:f>IF(B208&gt;$B$5,"Yes","No")</x:f>
        <x:v>No</x:v>
      </x:c>
      <x:c r="H208" s="23" t="str">
        <x:f>IF(F208&gt;$B$4,"Yes","No")</x:f>
        <x:v>No</x:v>
      </x:c>
      <x:c r="I208" s="23" t="str">
        <x:f>IF(AND(G208="Yes",H208="Yes"),"Top-right","Other")</x:f>
        <x:v>Other</x:v>
      </x:c>
    </x:row>
    <x:row r="209">
      <x:c r="A209" s="23" t="str">
        <x:v>Boehm, Predovic and Reinger</x:v>
      </x:c>
      <x:c r="B209" s="24" t="n">
        <x:v>64</x:v>
      </x:c>
      <x:c r="C209" s="24" t="n">
        <x:v>0</x:v>
      </x:c>
      <x:c r="D209" s="26" t="n">
        <x:v>0</x:v>
      </x:c>
      <x:c r="E209" s="24" t="n">
        <x:f>B209-C209</x:f>
        <x:v>64</x:v>
      </x:c>
      <x:c r="F209" s="25" t="n">
        <x:f>C209/B209</x:f>
        <x:v>0</x:v>
      </x:c>
      <x:c r="G209" s="23" t="str">
        <x:f>IF(B209&gt;$B$5,"Yes","No")</x:f>
        <x:v>No</x:v>
      </x:c>
      <x:c r="H209" s="23" t="str">
        <x:f>IF(F209&gt;$B$4,"Yes","No")</x:f>
        <x:v>No</x:v>
      </x:c>
      <x:c r="I209" s="23" t="str">
        <x:f>IF(AND(G209="Yes",H209="Yes"),"Top-right","Other")</x:f>
        <x:v>Other</x:v>
      </x:c>
    </x:row>
    <x:row r="210">
      <x:c r="A210" s="23" t="str">
        <x:v>Effertz, Welch and Schowalter</x:v>
      </x:c>
      <x:c r="B210" s="24" t="n">
        <x:v>64</x:v>
      </x:c>
      <x:c r="C210" s="24" t="n">
        <x:v>0</x:v>
      </x:c>
      <x:c r="D210" s="26" t="n">
        <x:v>0</x:v>
      </x:c>
      <x:c r="E210" s="24" t="n">
        <x:f>B210-C210</x:f>
        <x:v>64</x:v>
      </x:c>
      <x:c r="F210" s="25" t="n">
        <x:f>C210/B210</x:f>
        <x:v>0</x:v>
      </x:c>
      <x:c r="G210" s="23" t="str">
        <x:f>IF(B210&gt;$B$5,"Yes","No")</x:f>
        <x:v>No</x:v>
      </x:c>
      <x:c r="H210" s="23" t="str">
        <x:f>IF(F210&gt;$B$4,"Yes","No")</x:f>
        <x:v>No</x:v>
      </x:c>
      <x:c r="I210" s="23" t="str">
        <x:f>IF(AND(G210="Yes",H210="Yes"),"Top-right","Other")</x:f>
        <x:v>Other</x:v>
      </x:c>
    </x:row>
    <x:row r="211">
      <x:c r="A211" s="23" t="str">
        <x:v>Gerlach Inc</x:v>
      </x:c>
      <x:c r="B211" s="24" t="n">
        <x:v>64</x:v>
      </x:c>
      <x:c r="C211" s="24" t="n">
        <x:v>0</x:v>
      </x:c>
      <x:c r="D211" s="26" t="n">
        <x:v>0</x:v>
      </x:c>
      <x:c r="E211" s="24" t="n">
        <x:f>B211-C211</x:f>
        <x:v>64</x:v>
      </x:c>
      <x:c r="F211" s="25" t="n">
        <x:f>C211/B211</x:f>
        <x:v>0</x:v>
      </x:c>
      <x:c r="G211" s="23" t="str">
        <x:f>IF(B211&gt;$B$5,"Yes","No")</x:f>
        <x:v>No</x:v>
      </x:c>
      <x:c r="H211" s="23" t="str">
        <x:f>IF(F211&gt;$B$4,"Yes","No")</x:f>
        <x:v>No</x:v>
      </x:c>
      <x:c r="I211" s="23" t="str">
        <x:f>IF(AND(G211="Yes",H211="Yes"),"Top-right","Other")</x:f>
        <x:v>Other</x:v>
      </x:c>
    </x:row>
    <x:row r="212">
      <x:c r="A212" s="23" t="str">
        <x:v>Goyette Inc</x:v>
      </x:c>
      <x:c r="B212" s="24" t="n">
        <x:v>64</x:v>
      </x:c>
      <x:c r="C212" s="24" t="n">
        <x:v>0</x:v>
      </x:c>
      <x:c r="D212" s="26" t="n">
        <x:v>0</x:v>
      </x:c>
      <x:c r="E212" s="24" t="n">
        <x:f>B212-C212</x:f>
        <x:v>64</x:v>
      </x:c>
      <x:c r="F212" s="25" t="n">
        <x:f>C212/B212</x:f>
        <x:v>0</x:v>
      </x:c>
      <x:c r="G212" s="23" t="str">
        <x:f>IF(B212&gt;$B$5,"Yes","No")</x:f>
        <x:v>No</x:v>
      </x:c>
      <x:c r="H212" s="23" t="str">
        <x:f>IF(F212&gt;$B$4,"Yes","No")</x:f>
        <x:v>No</x:v>
      </x:c>
      <x:c r="I212" s="23" t="str">
        <x:f>IF(AND(G212="Yes",H212="Yes"),"Top-right","Other")</x:f>
        <x:v>Other</x:v>
      </x:c>
    </x:row>
    <x:row r="213">
      <x:c r="A213" s="23" t="str">
        <x:v>Graham, Hegmann and Hammes</x:v>
      </x:c>
      <x:c r="B213" s="24" t="n">
        <x:v>64</x:v>
      </x:c>
      <x:c r="C213" s="24" t="n">
        <x:v>0</x:v>
      </x:c>
      <x:c r="D213" s="26" t="n">
        <x:v>0</x:v>
      </x:c>
      <x:c r="E213" s="24" t="n">
        <x:f>B213-C213</x:f>
        <x:v>64</x:v>
      </x:c>
      <x:c r="F213" s="25" t="n">
        <x:f>C213/B213</x:f>
        <x:v>0</x:v>
      </x:c>
      <x:c r="G213" s="23" t="str">
        <x:f>IF(B213&gt;$B$5,"Yes","No")</x:f>
        <x:v>No</x:v>
      </x:c>
      <x:c r="H213" s="23" t="str">
        <x:f>IF(F213&gt;$B$4,"Yes","No")</x:f>
        <x:v>No</x:v>
      </x:c>
      <x:c r="I213" s="23" t="str">
        <x:f>IF(AND(G213="Yes",H213="Yes"),"Top-right","Other")</x:f>
        <x:v>Other</x:v>
      </x:c>
    </x:row>
    <x:row r="214">
      <x:c r="A214" s="23" t="str">
        <x:v>Heathcote, Yost and Kertzmann</x:v>
      </x:c>
      <x:c r="B214" s="24" t="n">
        <x:v>64</x:v>
      </x:c>
      <x:c r="C214" s="24" t="n">
        <x:v>1</x:v>
      </x:c>
      <x:c r="D214" s="26" t="n">
        <x:v>1294.83</x:v>
      </x:c>
      <x:c r="E214" s="24" t="n">
        <x:f>B214-C214</x:f>
        <x:v>63</x:v>
      </x:c>
      <x:c r="F214" s="25" t="n">
        <x:f>C214/B214</x:f>
        <x:v>0.015625</x:v>
      </x:c>
      <x:c r="G214" s="23" t="str">
        <x:f>IF(B214&gt;$B$5,"Yes","No")</x:f>
        <x:v>No</x:v>
      </x:c>
      <x:c r="H214" s="23" t="str">
        <x:f>IF(F214&gt;$B$4,"Yes","No")</x:f>
        <x:v>Yes</x:v>
      </x:c>
      <x:c r="I214" s="23" t="str">
        <x:f>IF(AND(G214="Yes",H214="Yes"),"Top-right","Other")</x:f>
        <x:v>Other</x:v>
      </x:c>
    </x:row>
    <x:row r="215">
      <x:c r="A215" s="23" t="str">
        <x:v>Kling, Howe and Schneider</x:v>
      </x:c>
      <x:c r="B215" s="24" t="n">
        <x:v>64</x:v>
      </x:c>
      <x:c r="C215" s="24" t="n">
        <x:v>0</x:v>
      </x:c>
      <x:c r="D215" s="26" t="n">
        <x:v>0</x:v>
      </x:c>
      <x:c r="E215" s="24" t="n">
        <x:f>B215-C215</x:f>
        <x:v>64</x:v>
      </x:c>
      <x:c r="F215" s="25" t="n">
        <x:f>C215/B215</x:f>
        <x:v>0</x:v>
      </x:c>
      <x:c r="G215" s="23" t="str">
        <x:f>IF(B215&gt;$B$5,"Yes","No")</x:f>
        <x:v>No</x:v>
      </x:c>
      <x:c r="H215" s="23" t="str">
        <x:f>IF(F215&gt;$B$4,"Yes","No")</x:f>
        <x:v>No</x:v>
      </x:c>
      <x:c r="I215" s="23" t="str">
        <x:f>IF(AND(G215="Yes",H215="Yes"),"Top-right","Other")</x:f>
        <x:v>Other</x:v>
      </x:c>
    </x:row>
    <x:row r="216">
      <x:c r="A216" s="23" t="str">
        <x:v>Kozey-Kuhlman</x:v>
      </x:c>
      <x:c r="B216" s="24" t="n">
        <x:v>64</x:v>
      </x:c>
      <x:c r="C216" s="24" t="n">
        <x:v>0</x:v>
      </x:c>
      <x:c r="D216" s="26" t="n">
        <x:v>0</x:v>
      </x:c>
      <x:c r="E216" s="24" t="n">
        <x:f>B216-C216</x:f>
        <x:v>64</x:v>
      </x:c>
      <x:c r="F216" s="25" t="n">
        <x:f>C216/B216</x:f>
        <x:v>0</x:v>
      </x:c>
      <x:c r="G216" s="23" t="str">
        <x:f>IF(B216&gt;$B$5,"Yes","No")</x:f>
        <x:v>No</x:v>
      </x:c>
      <x:c r="H216" s="23" t="str">
        <x:f>IF(F216&gt;$B$4,"Yes","No")</x:f>
        <x:v>No</x:v>
      </x:c>
      <x:c r="I216" s="23" t="str">
        <x:f>IF(AND(G216="Yes",H216="Yes"),"Top-right","Other")</x:f>
        <x:v>Other</x:v>
      </x:c>
    </x:row>
    <x:row r="217">
      <x:c r="A217" s="23" t="str">
        <x:v>Predovic Inc</x:v>
      </x:c>
      <x:c r="B217" s="24" t="n">
        <x:v>64</x:v>
      </x:c>
      <x:c r="C217" s="24" t="n">
        <x:v>0</x:v>
      </x:c>
      <x:c r="D217" s="26" t="n">
        <x:v>0</x:v>
      </x:c>
      <x:c r="E217" s="24" t="n">
        <x:f>B217-C217</x:f>
        <x:v>64</x:v>
      </x:c>
      <x:c r="F217" s="25" t="n">
        <x:f>C217/B217</x:f>
        <x:v>0</x:v>
      </x:c>
      <x:c r="G217" s="23" t="str">
        <x:f>IF(B217&gt;$B$5,"Yes","No")</x:f>
        <x:v>No</x:v>
      </x:c>
      <x:c r="H217" s="23" t="str">
        <x:f>IF(F217&gt;$B$4,"Yes","No")</x:f>
        <x:v>No</x:v>
      </x:c>
      <x:c r="I217" s="23" t="str">
        <x:f>IF(AND(G217="Yes",H217="Yes"),"Top-right","Other")</x:f>
        <x:v>Other</x:v>
      </x:c>
    </x:row>
    <x:row r="218">
      <x:c r="A218" s="23" t="str">
        <x:v>Romaguera, Cruickshank and Greenholt</x:v>
      </x:c>
      <x:c r="B218" s="24" t="n">
        <x:v>64</x:v>
      </x:c>
      <x:c r="C218" s="24" t="n">
        <x:v>0</x:v>
      </x:c>
      <x:c r="D218" s="26" t="n">
        <x:v>0</x:v>
      </x:c>
      <x:c r="E218" s="24" t="n">
        <x:f>B218-C218</x:f>
        <x:v>64</x:v>
      </x:c>
      <x:c r="F218" s="25" t="n">
        <x:f>C218/B218</x:f>
        <x:v>0</x:v>
      </x:c>
      <x:c r="G218" s="23" t="str">
        <x:f>IF(B218&gt;$B$5,"Yes","No")</x:f>
        <x:v>No</x:v>
      </x:c>
      <x:c r="H218" s="23" t="str">
        <x:f>IF(F218&gt;$B$4,"Yes","No")</x:f>
        <x:v>No</x:v>
      </x:c>
      <x:c r="I218" s="23" t="str">
        <x:f>IF(AND(G218="Yes",H218="Yes"),"Top-right","Other")</x:f>
        <x:v>Other</x:v>
      </x:c>
    </x:row>
    <x:row r="219">
      <x:c r="A219" s="23" t="str">
        <x:v>Schulist Ltd</x:v>
      </x:c>
      <x:c r="B219" s="24" t="n">
        <x:v>64</x:v>
      </x:c>
      <x:c r="C219" s="24" t="n">
        <x:v>0</x:v>
      </x:c>
      <x:c r="D219" s="26" t="n">
        <x:v>0</x:v>
      </x:c>
      <x:c r="E219" s="24" t="n">
        <x:f>B219-C219</x:f>
        <x:v>64</x:v>
      </x:c>
      <x:c r="F219" s="25" t="n">
        <x:f>C219/B219</x:f>
        <x:v>0</x:v>
      </x:c>
      <x:c r="G219" s="23" t="str">
        <x:f>IF(B219&gt;$B$5,"Yes","No")</x:f>
        <x:v>No</x:v>
      </x:c>
      <x:c r="H219" s="23" t="str">
        <x:f>IF(F219&gt;$B$4,"Yes","No")</x:f>
        <x:v>No</x:v>
      </x:c>
      <x:c r="I219" s="23" t="str">
        <x:f>IF(AND(G219="Yes",H219="Yes"),"Top-right","Other")</x:f>
        <x:v>Other</x:v>
      </x:c>
    </x:row>
    <x:row r="220">
      <x:c r="A220" s="23" t="str">
        <x:v>Wiza, Schaden and Stark</x:v>
      </x:c>
      <x:c r="B220" s="24" t="n">
        <x:v>64</x:v>
      </x:c>
      <x:c r="C220" s="24" t="n">
        <x:v>1</x:v>
      </x:c>
      <x:c r="D220" s="26" t="n">
        <x:v>51.41</x:v>
      </x:c>
      <x:c r="E220" s="24" t="n">
        <x:f>B220-C220</x:f>
        <x:v>63</x:v>
      </x:c>
      <x:c r="F220" s="25" t="n">
        <x:f>C220/B220</x:f>
        <x:v>0.015625</x:v>
      </x:c>
      <x:c r="G220" s="23" t="str">
        <x:f>IF(B220&gt;$B$5,"Yes","No")</x:f>
        <x:v>No</x:v>
      </x:c>
      <x:c r="H220" s="23" t="str">
        <x:f>IF(F220&gt;$B$4,"Yes","No")</x:f>
        <x:v>Yes</x:v>
      </x:c>
      <x:c r="I220" s="23" t="str">
        <x:f>IF(AND(G220="Yes",H220="Yes"),"Top-right","Other")</x:f>
        <x:v>Other</x:v>
      </x:c>
    </x:row>
    <x:row r="221">
      <x:c r="A221" s="23" t="str">
        <x:v>Wuckert-Goldner</x:v>
      </x:c>
      <x:c r="B221" s="24" t="n">
        <x:v>64</x:v>
      </x:c>
      <x:c r="C221" s="24" t="n">
        <x:v>1</x:v>
      </x:c>
      <x:c r="D221" s="26" t="n">
        <x:v>269.01</x:v>
      </x:c>
      <x:c r="E221" s="24" t="n">
        <x:f>B221-C221</x:f>
        <x:v>63</x:v>
      </x:c>
      <x:c r="F221" s="25" t="n">
        <x:f>C221/B221</x:f>
        <x:v>0.015625</x:v>
      </x:c>
      <x:c r="G221" s="23" t="str">
        <x:f>IF(B221&gt;$B$5,"Yes","No")</x:f>
        <x:v>No</x:v>
      </x:c>
      <x:c r="H221" s="23" t="str">
        <x:f>IF(F221&gt;$B$4,"Yes","No")</x:f>
        <x:v>Yes</x:v>
      </x:c>
      <x:c r="I221" s="23" t="str">
        <x:f>IF(AND(G221="Yes",H221="Yes"),"Top-right","Other")</x:f>
        <x:v>Other</x:v>
      </x:c>
    </x:row>
    <x:row r="222">
      <x:c r="A222" s="23" t="str">
        <x:v>Zemlak, Tillman and Cremin</x:v>
      </x:c>
      <x:c r="B222" s="24" t="n">
        <x:v>64</x:v>
      </x:c>
      <x:c r="C222" s="24" t="n">
        <x:v>0</x:v>
      </x:c>
      <x:c r="D222" s="26" t="n">
        <x:v>0</x:v>
      </x:c>
      <x:c r="E222" s="24" t="n">
        <x:f>B222-C222</x:f>
        <x:v>64</x:v>
      </x:c>
      <x:c r="F222" s="25" t="n">
        <x:f>C222/B222</x:f>
        <x:v>0</x:v>
      </x:c>
      <x:c r="G222" s="23" t="str">
        <x:f>IF(B222&gt;$B$5,"Yes","No")</x:f>
        <x:v>No</x:v>
      </x:c>
      <x:c r="H222" s="23" t="str">
        <x:f>IF(F222&gt;$B$4,"Yes","No")</x:f>
        <x:v>No</x:v>
      </x:c>
      <x:c r="I222" s="23" t="str">
        <x:f>IF(AND(G222="Yes",H222="Yes"),"Top-right","Other")</x:f>
        <x:v>Other</x:v>
      </x:c>
    </x:row>
    <x:row r="223">
      <x:c r="A223" s="23" t="str">
        <x:v>Abbott-Rogahn</x:v>
      </x:c>
      <x:c r="B223" s="24" t="n">
        <x:v>65</x:v>
      </x:c>
      <x:c r="C223" s="24" t="n">
        <x:v>0</x:v>
      </x:c>
      <x:c r="D223" s="26" t="n">
        <x:v>0</x:v>
      </x:c>
      <x:c r="E223" s="24" t="n">
        <x:f>B223-C223</x:f>
        <x:v>65</x:v>
      </x:c>
      <x:c r="F223" s="25" t="n">
        <x:f>C223/B223</x:f>
        <x:v>0</x:v>
      </x:c>
      <x:c r="G223" s="23" t="str">
        <x:f>IF(B223&gt;$B$5,"Yes","No")</x:f>
        <x:v>No</x:v>
      </x:c>
      <x:c r="H223" s="23" t="str">
        <x:f>IF(F223&gt;$B$4,"Yes","No")</x:f>
        <x:v>No</x:v>
      </x:c>
      <x:c r="I223" s="23" t="str">
        <x:f>IF(AND(G223="Yes",H223="Yes"),"Top-right","Other")</x:f>
        <x:v>Other</x:v>
      </x:c>
    </x:row>
    <x:row r="224">
      <x:c r="A224" s="23" t="str">
        <x:v>Bechtelar-Rippin</x:v>
      </x:c>
      <x:c r="B224" s="24" t="n">
        <x:v>65</x:v>
      </x:c>
      <x:c r="C224" s="24" t="n">
        <x:v>0</x:v>
      </x:c>
      <x:c r="D224" s="26" t="n">
        <x:v>0</x:v>
      </x:c>
      <x:c r="E224" s="24" t="n">
        <x:f>B224-C224</x:f>
        <x:v>65</x:v>
      </x:c>
      <x:c r="F224" s="25" t="n">
        <x:f>C224/B224</x:f>
        <x:v>0</x:v>
      </x:c>
      <x:c r="G224" s="23" t="str">
        <x:f>IF(B224&gt;$B$5,"Yes","No")</x:f>
        <x:v>No</x:v>
      </x:c>
      <x:c r="H224" s="23" t="str">
        <x:f>IF(F224&gt;$B$4,"Yes","No")</x:f>
        <x:v>No</x:v>
      </x:c>
      <x:c r="I224" s="23" t="str">
        <x:f>IF(AND(G224="Yes",H224="Yes"),"Top-right","Other")</x:f>
        <x:v>Other</x:v>
      </x:c>
    </x:row>
    <x:row r="225">
      <x:c r="A225" s="23" t="str">
        <x:v>Becker, Harris and Harvey</x:v>
      </x:c>
      <x:c r="B225" s="24" t="n">
        <x:v>65</x:v>
      </x:c>
      <x:c r="C225" s="24" t="n">
        <x:v>0</x:v>
      </x:c>
      <x:c r="D225" s="26" t="n">
        <x:v>0</x:v>
      </x:c>
      <x:c r="E225" s="24" t="n">
        <x:f>B225-C225</x:f>
        <x:v>65</x:v>
      </x:c>
      <x:c r="F225" s="25" t="n">
        <x:f>C225/B225</x:f>
        <x:v>0</x:v>
      </x:c>
      <x:c r="G225" s="23" t="str">
        <x:f>IF(B225&gt;$B$5,"Yes","No")</x:f>
        <x:v>No</x:v>
      </x:c>
      <x:c r="H225" s="23" t="str">
        <x:f>IF(F225&gt;$B$4,"Yes","No")</x:f>
        <x:v>No</x:v>
      </x:c>
      <x:c r="I225" s="23" t="str">
        <x:f>IF(AND(G225="Yes",H225="Yes"),"Top-right","Other")</x:f>
        <x:v>Other</x:v>
      </x:c>
    </x:row>
    <x:row r="226">
      <x:c r="A226" s="23" t="str">
        <x:v>Conroy, Balistreri and Gorczany</x:v>
      </x:c>
      <x:c r="B226" s="24" t="n">
        <x:v>65</x:v>
      </x:c>
      <x:c r="C226" s="24" t="n">
        <x:v>0</x:v>
      </x:c>
      <x:c r="D226" s="26" t="n">
        <x:v>0</x:v>
      </x:c>
      <x:c r="E226" s="24" t="n">
        <x:f>B226-C226</x:f>
        <x:v>65</x:v>
      </x:c>
      <x:c r="F226" s="25" t="n">
        <x:f>C226/B226</x:f>
        <x:v>0</x:v>
      </x:c>
      <x:c r="G226" s="23" t="str">
        <x:f>IF(B226&gt;$B$5,"Yes","No")</x:f>
        <x:v>No</x:v>
      </x:c>
      <x:c r="H226" s="23" t="str">
        <x:f>IF(F226&gt;$B$4,"Yes","No")</x:f>
        <x:v>No</x:v>
      </x:c>
      <x:c r="I226" s="23" t="str">
        <x:f>IF(AND(G226="Yes",H226="Yes"),"Top-right","Other")</x:f>
        <x:v>Other</x:v>
      </x:c>
    </x:row>
    <x:row r="227">
      <x:c r="A227" s="23" t="str">
        <x:v>Crooks and Sons</x:v>
      </x:c>
      <x:c r="B227" s="24" t="n">
        <x:v>65</x:v>
      </x:c>
      <x:c r="C227" s="24" t="n">
        <x:v>1</x:v>
      </x:c>
      <x:c r="D227" s="26" t="n">
        <x:v>22.47</x:v>
      </x:c>
      <x:c r="E227" s="24" t="n">
        <x:f>B227-C227</x:f>
        <x:v>64</x:v>
      </x:c>
      <x:c r="F227" s="25" t="n">
        <x:f>C227/B227</x:f>
        <x:v>0.015384615384615385</x:v>
      </x:c>
      <x:c r="G227" s="23" t="str">
        <x:f>IF(B227&gt;$B$5,"Yes","No")</x:f>
        <x:v>No</x:v>
      </x:c>
      <x:c r="H227" s="23" t="str">
        <x:f>IF(F227&gt;$B$4,"Yes","No")</x:f>
        <x:v>Yes</x:v>
      </x:c>
      <x:c r="I227" s="23" t="str">
        <x:f>IF(AND(G227="Yes",H227="Yes"),"Top-right","Other")</x:f>
        <x:v>Other</x:v>
      </x:c>
    </x:row>
    <x:row r="228">
      <x:c r="A228" s="23" t="str">
        <x:v>Cummerata-Hilpert</x:v>
      </x:c>
      <x:c r="B228" s="24" t="n">
        <x:v>65</x:v>
      </x:c>
      <x:c r="C228" s="24" t="n">
        <x:v>0</x:v>
      </x:c>
      <x:c r="D228" s="26" t="n">
        <x:v>0</x:v>
      </x:c>
      <x:c r="E228" s="24" t="n">
        <x:f>B228-C228</x:f>
        <x:v>65</x:v>
      </x:c>
      <x:c r="F228" s="25" t="n">
        <x:f>C228/B228</x:f>
        <x:v>0</x:v>
      </x:c>
      <x:c r="G228" s="23" t="str">
        <x:f>IF(B228&gt;$B$5,"Yes","No")</x:f>
        <x:v>No</x:v>
      </x:c>
      <x:c r="H228" s="23" t="str">
        <x:f>IF(F228&gt;$B$4,"Yes","No")</x:f>
        <x:v>No</x:v>
      </x:c>
      <x:c r="I228" s="23" t="str">
        <x:f>IF(AND(G228="Yes",H228="Yes"),"Top-right","Other")</x:f>
        <x:v>Other</x:v>
      </x:c>
    </x:row>
    <x:row r="229">
      <x:c r="A229" s="23" t="str">
        <x:v>Kassulke PLC</x:v>
      </x:c>
      <x:c r="B229" s="24" t="n">
        <x:v>65</x:v>
      </x:c>
      <x:c r="C229" s="24" t="n">
        <x:v>0</x:v>
      </x:c>
      <x:c r="D229" s="26" t="n">
        <x:v>0</x:v>
      </x:c>
      <x:c r="E229" s="24" t="n">
        <x:f>B229-C229</x:f>
        <x:v>65</x:v>
      </x:c>
      <x:c r="F229" s="25" t="n">
        <x:f>C229/B229</x:f>
        <x:v>0</x:v>
      </x:c>
      <x:c r="G229" s="23" t="str">
        <x:f>IF(B229&gt;$B$5,"Yes","No")</x:f>
        <x:v>No</x:v>
      </x:c>
      <x:c r="H229" s="23" t="str">
        <x:f>IF(F229&gt;$B$4,"Yes","No")</x:f>
        <x:v>No</x:v>
      </x:c>
      <x:c r="I229" s="23" t="str">
        <x:f>IF(AND(G229="Yes",H229="Yes"),"Top-right","Other")</x:f>
        <x:v>Other</x:v>
      </x:c>
    </x:row>
    <x:row r="230">
      <x:c r="A230" s="23" t="str">
        <x:v>Kuphal-Toy</x:v>
      </x:c>
      <x:c r="B230" s="24" t="n">
        <x:v>65</x:v>
      </x:c>
      <x:c r="C230" s="24" t="n">
        <x:v>0</x:v>
      </x:c>
      <x:c r="D230" s="26" t="n">
        <x:v>0</x:v>
      </x:c>
      <x:c r="E230" s="24" t="n">
        <x:f>B230-C230</x:f>
        <x:v>65</x:v>
      </x:c>
      <x:c r="F230" s="25" t="n">
        <x:f>C230/B230</x:f>
        <x:v>0</x:v>
      </x:c>
      <x:c r="G230" s="23" t="str">
        <x:f>IF(B230&gt;$B$5,"Yes","No")</x:f>
        <x:v>No</x:v>
      </x:c>
      <x:c r="H230" s="23" t="str">
        <x:f>IF(F230&gt;$B$4,"Yes","No")</x:f>
        <x:v>No</x:v>
      </x:c>
      <x:c r="I230" s="23" t="str">
        <x:f>IF(AND(G230="Yes",H230="Yes"),"Top-right","Other")</x:f>
        <x:v>Other</x:v>
      </x:c>
    </x:row>
    <x:row r="231">
      <x:c r="A231" s="23" t="str">
        <x:v>Ledner, Hartmann and Feest</x:v>
      </x:c>
      <x:c r="B231" s="24" t="n">
        <x:v>65</x:v>
      </x:c>
      <x:c r="C231" s="24" t="n">
        <x:v>0</x:v>
      </x:c>
      <x:c r="D231" s="26" t="n">
        <x:v>0</x:v>
      </x:c>
      <x:c r="E231" s="24" t="n">
        <x:f>B231-C231</x:f>
        <x:v>65</x:v>
      </x:c>
      <x:c r="F231" s="25" t="n">
        <x:f>C231/B231</x:f>
        <x:v>0</x:v>
      </x:c>
      <x:c r="G231" s="23" t="str">
        <x:f>IF(B231&gt;$B$5,"Yes","No")</x:f>
        <x:v>No</x:v>
      </x:c>
      <x:c r="H231" s="23" t="str">
        <x:f>IF(F231&gt;$B$4,"Yes","No")</x:f>
        <x:v>No</x:v>
      </x:c>
      <x:c r="I231" s="23" t="str">
        <x:f>IF(AND(G231="Yes",H231="Yes"),"Top-right","Other")</x:f>
        <x:v>Other</x:v>
      </x:c>
    </x:row>
    <x:row r="232">
      <x:c r="A232" s="23" t="str">
        <x:v>Miller-Hauck</x:v>
      </x:c>
      <x:c r="B232" s="24" t="n">
        <x:v>65</x:v>
      </x:c>
      <x:c r="C232" s="24" t="n">
        <x:v>0</x:v>
      </x:c>
      <x:c r="D232" s="26" t="n">
        <x:v>0</x:v>
      </x:c>
      <x:c r="E232" s="24" t="n">
        <x:f>B232-C232</x:f>
        <x:v>65</x:v>
      </x:c>
      <x:c r="F232" s="25" t="n">
        <x:f>C232/B232</x:f>
        <x:v>0</x:v>
      </x:c>
      <x:c r="G232" s="23" t="str">
        <x:f>IF(B232&gt;$B$5,"Yes","No")</x:f>
        <x:v>No</x:v>
      </x:c>
      <x:c r="H232" s="23" t="str">
        <x:f>IF(F232&gt;$B$4,"Yes","No")</x:f>
        <x:v>No</x:v>
      </x:c>
      <x:c r="I232" s="23" t="str">
        <x:f>IF(AND(G232="Yes",H232="Yes"),"Top-right","Other")</x:f>
        <x:v>Other</x:v>
      </x:c>
    </x:row>
    <x:row r="233">
      <x:c r="A233" s="23" t="str">
        <x:v>Nienow PLC</x:v>
      </x:c>
      <x:c r="B233" s="24" t="n">
        <x:v>65</x:v>
      </x:c>
      <x:c r="C233" s="24" t="n">
        <x:v>0</x:v>
      </x:c>
      <x:c r="D233" s="26" t="n">
        <x:v>0</x:v>
      </x:c>
      <x:c r="E233" s="24" t="n">
        <x:f>B233-C233</x:f>
        <x:v>65</x:v>
      </x:c>
      <x:c r="F233" s="25" t="n">
        <x:f>C233/B233</x:f>
        <x:v>0</x:v>
      </x:c>
      <x:c r="G233" s="23" t="str">
        <x:f>IF(B233&gt;$B$5,"Yes","No")</x:f>
        <x:v>No</x:v>
      </x:c>
      <x:c r="H233" s="23" t="str">
        <x:f>IF(F233&gt;$B$4,"Yes","No")</x:f>
        <x:v>No</x:v>
      </x:c>
      <x:c r="I233" s="23" t="str">
        <x:f>IF(AND(G233="Yes",H233="Yes"),"Top-right","Other")</x:f>
        <x:v>Other</x:v>
      </x:c>
    </x:row>
    <x:row r="234">
      <x:c r="A234" s="23" t="str">
        <x:v>Turcotte, Batz and Buckridge</x:v>
      </x:c>
      <x:c r="B234" s="24" t="n">
        <x:v>65</x:v>
      </x:c>
      <x:c r="C234" s="24" t="n">
        <x:v>0</x:v>
      </x:c>
      <x:c r="D234" s="26" t="n">
        <x:v>0</x:v>
      </x:c>
      <x:c r="E234" s="24" t="n">
        <x:f>B234-C234</x:f>
        <x:v>65</x:v>
      </x:c>
      <x:c r="F234" s="25" t="n">
        <x:f>C234/B234</x:f>
        <x:v>0</x:v>
      </x:c>
      <x:c r="G234" s="23" t="str">
        <x:f>IF(B234&gt;$B$5,"Yes","No")</x:f>
        <x:v>No</x:v>
      </x:c>
      <x:c r="H234" s="23" t="str">
        <x:f>IF(F234&gt;$B$4,"Yes","No")</x:f>
        <x:v>No</x:v>
      </x:c>
      <x:c r="I234" s="23" t="str">
        <x:f>IF(AND(G234="Yes",H234="Yes"),"Top-right","Other")</x:f>
        <x:v>Other</x:v>
      </x:c>
    </x:row>
    <x:row r="235">
      <x:c r="A235" s="23" t="str">
        <x:v>Abbott-Steuber</x:v>
      </x:c>
      <x:c r="B235" s="24" t="n">
        <x:v>66</x:v>
      </x:c>
      <x:c r="C235" s="24" t="n">
        <x:v>0</x:v>
      </x:c>
      <x:c r="D235" s="26" t="n">
        <x:v>0</x:v>
      </x:c>
      <x:c r="E235" s="24" t="n">
        <x:f>B235-C235</x:f>
        <x:v>66</x:v>
      </x:c>
      <x:c r="F235" s="25" t="n">
        <x:f>C235/B235</x:f>
        <x:v>0</x:v>
      </x:c>
      <x:c r="G235" s="23" t="str">
        <x:f>IF(B235&gt;$B$5,"Yes","No")</x:f>
        <x:v>No</x:v>
      </x:c>
      <x:c r="H235" s="23" t="str">
        <x:f>IF(F235&gt;$B$4,"Yes","No")</x:f>
        <x:v>No</x:v>
      </x:c>
      <x:c r="I235" s="23" t="str">
        <x:f>IF(AND(G235="Yes",H235="Yes"),"Top-right","Other")</x:f>
        <x:v>Other</x:v>
      </x:c>
    </x:row>
    <x:row r="236">
      <x:c r="A236" s="23" t="str">
        <x:v>Auer LLC</x:v>
      </x:c>
      <x:c r="B236" s="24" t="n">
        <x:v>66</x:v>
      </x:c>
      <x:c r="C236" s="24" t="n">
        <x:v>0</x:v>
      </x:c>
      <x:c r="D236" s="26" t="n">
        <x:v>0</x:v>
      </x:c>
      <x:c r="E236" s="24" t="n">
        <x:f>B236-C236</x:f>
        <x:v>66</x:v>
      </x:c>
      <x:c r="F236" s="25" t="n">
        <x:f>C236/B236</x:f>
        <x:v>0</x:v>
      </x:c>
      <x:c r="G236" s="23" t="str">
        <x:f>IF(B236&gt;$B$5,"Yes","No")</x:f>
        <x:v>No</x:v>
      </x:c>
      <x:c r="H236" s="23" t="str">
        <x:f>IF(F236&gt;$B$4,"Yes","No")</x:f>
        <x:v>No</x:v>
      </x:c>
      <x:c r="I236" s="23" t="str">
        <x:f>IF(AND(G236="Yes",H236="Yes"),"Top-right","Other")</x:f>
        <x:v>Other</x:v>
      </x:c>
    </x:row>
    <x:row r="237">
      <x:c r="A237" s="23" t="str">
        <x:v>Botsford PLC</x:v>
      </x:c>
      <x:c r="B237" s="24" t="n">
        <x:v>66</x:v>
      </x:c>
      <x:c r="C237" s="24" t="n">
        <x:v>0</x:v>
      </x:c>
      <x:c r="D237" s="26" t="n">
        <x:v>0</x:v>
      </x:c>
      <x:c r="E237" s="24" t="n">
        <x:f>B237-C237</x:f>
        <x:v>66</x:v>
      </x:c>
      <x:c r="F237" s="25" t="n">
        <x:f>C237/B237</x:f>
        <x:v>0</x:v>
      </x:c>
      <x:c r="G237" s="23" t="str">
        <x:f>IF(B237&gt;$B$5,"Yes","No")</x:f>
        <x:v>No</x:v>
      </x:c>
      <x:c r="H237" s="23" t="str">
        <x:f>IF(F237&gt;$B$4,"Yes","No")</x:f>
        <x:v>No</x:v>
      </x:c>
      <x:c r="I237" s="23" t="str">
        <x:f>IF(AND(G237="Yes",H237="Yes"),"Top-right","Other")</x:f>
        <x:v>Other</x:v>
      </x:c>
    </x:row>
    <x:row r="238">
      <x:c r="A238" s="23" t="str">
        <x:v>Cole, Hills and Jewess</x:v>
      </x:c>
      <x:c r="B238" s="24" t="n">
        <x:v>66</x:v>
      </x:c>
      <x:c r="C238" s="24" t="n">
        <x:v>0</x:v>
      </x:c>
      <x:c r="D238" s="26" t="n">
        <x:v>0</x:v>
      </x:c>
      <x:c r="E238" s="24" t="n">
        <x:f>B238-C238</x:f>
        <x:v>66</x:v>
      </x:c>
      <x:c r="F238" s="25" t="n">
        <x:f>C238/B238</x:f>
        <x:v>0</x:v>
      </x:c>
      <x:c r="G238" s="23" t="str">
        <x:f>IF(B238&gt;$B$5,"Yes","No")</x:f>
        <x:v>No</x:v>
      </x:c>
      <x:c r="H238" s="23" t="str">
        <x:f>IF(F238&gt;$B$4,"Yes","No")</x:f>
        <x:v>No</x:v>
      </x:c>
      <x:c r="I238" s="23" t="str">
        <x:f>IF(AND(G238="Yes",H238="Yes"),"Top-right","Other")</x:f>
        <x:v>Other</x:v>
      </x:c>
    </x:row>
    <x:row r="239">
      <x:c r="A239" s="23" t="str">
        <x:v>DuBuque LLC</x:v>
      </x:c>
      <x:c r="B239" s="24" t="n">
        <x:v>66</x:v>
      </x:c>
      <x:c r="C239" s="24" t="n">
        <x:v>0</x:v>
      </x:c>
      <x:c r="D239" s="26" t="n">
        <x:v>0</x:v>
      </x:c>
      <x:c r="E239" s="24" t="n">
        <x:f>B239-C239</x:f>
        <x:v>66</x:v>
      </x:c>
      <x:c r="F239" s="25" t="n">
        <x:f>C239/B239</x:f>
        <x:v>0</x:v>
      </x:c>
      <x:c r="G239" s="23" t="str">
        <x:f>IF(B239&gt;$B$5,"Yes","No")</x:f>
        <x:v>No</x:v>
      </x:c>
      <x:c r="H239" s="23" t="str">
        <x:f>IF(F239&gt;$B$4,"Yes","No")</x:f>
        <x:v>No</x:v>
      </x:c>
      <x:c r="I239" s="23" t="str">
        <x:f>IF(AND(G239="Yes",H239="Yes"),"Top-right","Other")</x:f>
        <x:v>Other</x:v>
      </x:c>
    </x:row>
    <x:row r="240">
      <x:c r="A240" s="23" t="str">
        <x:v>Hammes-Beatty</x:v>
      </x:c>
      <x:c r="B240" s="24" t="n">
        <x:v>66</x:v>
      </x:c>
      <x:c r="C240" s="24" t="n">
        <x:v>0</x:v>
      </x:c>
      <x:c r="D240" s="26" t="n">
        <x:v>0</x:v>
      </x:c>
      <x:c r="E240" s="24" t="n">
        <x:f>B240-C240</x:f>
        <x:v>66</x:v>
      </x:c>
      <x:c r="F240" s="25" t="n">
        <x:f>C240/B240</x:f>
        <x:v>0</x:v>
      </x:c>
      <x:c r="G240" s="23" t="str">
        <x:f>IF(B240&gt;$B$5,"Yes","No")</x:f>
        <x:v>No</x:v>
      </x:c>
      <x:c r="H240" s="23" t="str">
        <x:f>IF(F240&gt;$B$4,"Yes","No")</x:f>
        <x:v>No</x:v>
      </x:c>
      <x:c r="I240" s="23" t="str">
        <x:f>IF(AND(G240="Yes",H240="Yes"),"Top-right","Other")</x:f>
        <x:v>Other</x:v>
      </x:c>
    </x:row>
    <x:row r="241">
      <x:c r="A241" s="23" t="str">
        <x:v>Kuhic Inc</x:v>
      </x:c>
      <x:c r="B241" s="24" t="n">
        <x:v>66</x:v>
      </x:c>
      <x:c r="C241" s="24" t="n">
        <x:v>1</x:v>
      </x:c>
      <x:c r="D241" s="26" t="n">
        <x:v>347.22</x:v>
      </x:c>
      <x:c r="E241" s="24" t="n">
        <x:f>B241-C241</x:f>
        <x:v>65</x:v>
      </x:c>
      <x:c r="F241" s="25" t="n">
        <x:f>C241/B241</x:f>
        <x:v>0.015151515151515152</x:v>
      </x:c>
      <x:c r="G241" s="23" t="str">
        <x:f>IF(B241&gt;$B$5,"Yes","No")</x:f>
        <x:v>No</x:v>
      </x:c>
      <x:c r="H241" s="23" t="str">
        <x:f>IF(F241&gt;$B$4,"Yes","No")</x:f>
        <x:v>Yes</x:v>
      </x:c>
      <x:c r="I241" s="23" t="str">
        <x:f>IF(AND(G241="Yes",H241="Yes"),"Top-right","Other")</x:f>
        <x:v>Other</x:v>
      </x:c>
    </x:row>
    <x:row r="242">
      <x:c r="A242" s="23" t="str">
        <x:v>Kulas Group</x:v>
      </x:c>
      <x:c r="B242" s="24" t="n">
        <x:v>66</x:v>
      </x:c>
      <x:c r="C242" s="24" t="n">
        <x:v>0</x:v>
      </x:c>
      <x:c r="D242" s="26" t="n">
        <x:v>0</x:v>
      </x:c>
      <x:c r="E242" s="24" t="n">
        <x:f>B242-C242</x:f>
        <x:v>66</x:v>
      </x:c>
      <x:c r="F242" s="25" t="n">
        <x:f>C242/B242</x:f>
        <x:v>0</x:v>
      </x:c>
      <x:c r="G242" s="23" t="str">
        <x:f>IF(B242&gt;$B$5,"Yes","No")</x:f>
        <x:v>No</x:v>
      </x:c>
      <x:c r="H242" s="23" t="str">
        <x:f>IF(F242&gt;$B$4,"Yes","No")</x:f>
        <x:v>No</x:v>
      </x:c>
      <x:c r="I242" s="23" t="str">
        <x:f>IF(AND(G242="Yes",H242="Yes"),"Top-right","Other")</x:f>
        <x:v>Other</x:v>
      </x:c>
    </x:row>
    <x:row r="243">
      <x:c r="A243" s="23" t="str">
        <x:v>Nicolas, Hills and McGlynn</x:v>
      </x:c>
      <x:c r="B243" s="24" t="n">
        <x:v>66</x:v>
      </x:c>
      <x:c r="C243" s="24" t="n">
        <x:v>0</x:v>
      </x:c>
      <x:c r="D243" s="26" t="n">
        <x:v>0</x:v>
      </x:c>
      <x:c r="E243" s="24" t="n">
        <x:f>B243-C243</x:f>
        <x:v>66</x:v>
      </x:c>
      <x:c r="F243" s="25" t="n">
        <x:f>C243/B243</x:f>
        <x:v>0</x:v>
      </x:c>
      <x:c r="G243" s="23" t="str">
        <x:f>IF(B243&gt;$B$5,"Yes","No")</x:f>
        <x:v>No</x:v>
      </x:c>
      <x:c r="H243" s="23" t="str">
        <x:f>IF(F243&gt;$B$4,"Yes","No")</x:f>
        <x:v>No</x:v>
      </x:c>
      <x:c r="I243" s="23" t="str">
        <x:f>IF(AND(G243="Yes",H243="Yes"),"Top-right","Other")</x:f>
        <x:v>Other</x:v>
      </x:c>
    </x:row>
    <x:row r="244">
      <x:c r="A244" s="23" t="str">
        <x:v>Prosacco LLC</x:v>
      </x:c>
      <x:c r="B244" s="24" t="n">
        <x:v>66</x:v>
      </x:c>
      <x:c r="C244" s="24" t="n">
        <x:v>0</x:v>
      </x:c>
      <x:c r="D244" s="26" t="n">
        <x:v>0</x:v>
      </x:c>
      <x:c r="E244" s="24" t="n">
        <x:f>B244-C244</x:f>
        <x:v>66</x:v>
      </x:c>
      <x:c r="F244" s="25" t="n">
        <x:f>C244/B244</x:f>
        <x:v>0</x:v>
      </x:c>
      <x:c r="G244" s="23" t="str">
        <x:f>IF(B244&gt;$B$5,"Yes","No")</x:f>
        <x:v>No</x:v>
      </x:c>
      <x:c r="H244" s="23" t="str">
        <x:f>IF(F244&gt;$B$4,"Yes","No")</x:f>
        <x:v>No</x:v>
      </x:c>
      <x:c r="I244" s="23" t="str">
        <x:f>IF(AND(G244="Yes",H244="Yes"),"Top-right","Other")</x:f>
        <x:v>Other</x:v>
      </x:c>
    </x:row>
    <x:row r="245">
      <x:c r="A245" s="23" t="str">
        <x:v>Upton PLC</x:v>
      </x:c>
      <x:c r="B245" s="24" t="n">
        <x:v>66</x:v>
      </x:c>
      <x:c r="C245" s="24" t="n">
        <x:v>0</x:v>
      </x:c>
      <x:c r="D245" s="26" t="n">
        <x:v>0</x:v>
      </x:c>
      <x:c r="E245" s="24" t="n">
        <x:f>B245-C245</x:f>
        <x:v>66</x:v>
      </x:c>
      <x:c r="F245" s="25" t="n">
        <x:f>C245/B245</x:f>
        <x:v>0</x:v>
      </x:c>
      <x:c r="G245" s="23" t="str">
        <x:f>IF(B245&gt;$B$5,"Yes","No")</x:f>
        <x:v>No</x:v>
      </x:c>
      <x:c r="H245" s="23" t="str">
        <x:f>IF(F245&gt;$B$4,"Yes","No")</x:f>
        <x:v>No</x:v>
      </x:c>
      <x:c r="I245" s="23" t="str">
        <x:f>IF(AND(G245="Yes",H245="Yes"),"Top-right","Other")</x:f>
        <x:v>Other</x:v>
      </x:c>
    </x:row>
    <x:row r="246">
      <x:c r="A246" s="23" t="str">
        <x:v>Zboncak Ltd</x:v>
      </x:c>
      <x:c r="B246" s="24" t="n">
        <x:v>66</x:v>
      </x:c>
      <x:c r="C246" s="24" t="n">
        <x:v>0</x:v>
      </x:c>
      <x:c r="D246" s="26" t="n">
        <x:v>0</x:v>
      </x:c>
      <x:c r="E246" s="24" t="n">
        <x:f>B246-C246</x:f>
        <x:v>66</x:v>
      </x:c>
      <x:c r="F246" s="25" t="n">
        <x:f>C246/B246</x:f>
        <x:v>0</x:v>
      </x:c>
      <x:c r="G246" s="23" t="str">
        <x:f>IF(B246&gt;$B$5,"Yes","No")</x:f>
        <x:v>No</x:v>
      </x:c>
      <x:c r="H246" s="23" t="str">
        <x:f>IF(F246&gt;$B$4,"Yes","No")</x:f>
        <x:v>No</x:v>
      </x:c>
      <x:c r="I246" s="23" t="str">
        <x:f>IF(AND(G246="Yes",H246="Yes"),"Top-right","Other")</x:f>
        <x:v>Other</x:v>
      </x:c>
    </x:row>
    <x:row r="247">
      <x:c r="A247" s="23" t="str">
        <x:v>Auer-West</x:v>
      </x:c>
      <x:c r="B247" s="24" t="n">
        <x:v>67</x:v>
      </x:c>
      <x:c r="C247" s="24" t="n">
        <x:v>0</x:v>
      </x:c>
      <x:c r="D247" s="26" t="n">
        <x:v>0</x:v>
      </x:c>
      <x:c r="E247" s="24" t="n">
        <x:f>B247-C247</x:f>
        <x:v>67</x:v>
      </x:c>
      <x:c r="F247" s="25" t="n">
        <x:f>C247/B247</x:f>
        <x:v>0</x:v>
      </x:c>
      <x:c r="G247" s="23" t="str">
        <x:f>IF(B247&gt;$B$5,"Yes","No")</x:f>
        <x:v>No</x:v>
      </x:c>
      <x:c r="H247" s="23" t="str">
        <x:f>IF(F247&gt;$B$4,"Yes","No")</x:f>
        <x:v>No</x:v>
      </x:c>
      <x:c r="I247" s="23" t="str">
        <x:f>IF(AND(G247="Yes",H247="Yes"),"Top-right","Other")</x:f>
        <x:v>Other</x:v>
      </x:c>
    </x:row>
    <x:row r="248">
      <x:c r="A248" s="23" t="str">
        <x:v>Bahringer, Schoen and Corkery</x:v>
      </x:c>
      <x:c r="B248" s="24" t="n">
        <x:v>67</x:v>
      </x:c>
      <x:c r="C248" s="24" t="n">
        <x:v>3</x:v>
      </x:c>
      <x:c r="D248" s="26" t="n">
        <x:v>2216.29</x:v>
      </x:c>
      <x:c r="E248" s="24" t="n">
        <x:f>B248-C248</x:f>
        <x:v>64</x:v>
      </x:c>
      <x:c r="F248" s="25" t="n">
        <x:f>C248/B248</x:f>
        <x:v>0.04477611940298507</x:v>
      </x:c>
      <x:c r="G248" s="23" t="str">
        <x:f>IF(B248&gt;$B$5,"Yes","No")</x:f>
        <x:v>No</x:v>
      </x:c>
      <x:c r="H248" s="23" t="str">
        <x:f>IF(F248&gt;$B$4,"Yes","No")</x:f>
        <x:v>Yes</x:v>
      </x:c>
      <x:c r="I248" s="23" t="str">
        <x:f>IF(AND(G248="Yes",H248="Yes"),"Top-right","Other")</x:f>
        <x:v>Other</x:v>
      </x:c>
    </x:row>
    <x:row r="249">
      <x:c r="A249" s="23" t="str">
        <x:v>Bogisich-Weimann</x:v>
      </x:c>
      <x:c r="B249" s="24" t="n">
        <x:v>67</x:v>
      </x:c>
      <x:c r="C249" s="24" t="n">
        <x:v>0</x:v>
      </x:c>
      <x:c r="D249" s="26" t="n">
        <x:v>0</x:v>
      </x:c>
      <x:c r="E249" s="24" t="n">
        <x:f>B249-C249</x:f>
        <x:v>67</x:v>
      </x:c>
      <x:c r="F249" s="25" t="n">
        <x:f>C249/B249</x:f>
        <x:v>0</x:v>
      </x:c>
      <x:c r="G249" s="23" t="str">
        <x:f>IF(B249&gt;$B$5,"Yes","No")</x:f>
        <x:v>No</x:v>
      </x:c>
      <x:c r="H249" s="23" t="str">
        <x:f>IF(F249&gt;$B$4,"Yes","No")</x:f>
        <x:v>No</x:v>
      </x:c>
      <x:c r="I249" s="23" t="str">
        <x:f>IF(AND(G249="Yes",H249="Yes"),"Top-right","Other")</x:f>
        <x:v>Other</x:v>
      </x:c>
    </x:row>
    <x:row r="250">
      <x:c r="A250" s="23" t="str">
        <x:v>Bruen-Yost</x:v>
      </x:c>
      <x:c r="B250" s="24" t="n">
        <x:v>67</x:v>
      </x:c>
      <x:c r="C250" s="24" t="n">
        <x:v>0</x:v>
      </x:c>
      <x:c r="D250" s="26" t="n">
        <x:v>0</x:v>
      </x:c>
      <x:c r="E250" s="24" t="n">
        <x:f>B250-C250</x:f>
        <x:v>67</x:v>
      </x:c>
      <x:c r="F250" s="25" t="n">
        <x:f>C250/B250</x:f>
        <x:v>0</x:v>
      </x:c>
      <x:c r="G250" s="23" t="str">
        <x:f>IF(B250&gt;$B$5,"Yes","No")</x:f>
        <x:v>No</x:v>
      </x:c>
      <x:c r="H250" s="23" t="str">
        <x:f>IF(F250&gt;$B$4,"Yes","No")</x:f>
        <x:v>No</x:v>
      </x:c>
      <x:c r="I250" s="23" t="str">
        <x:f>IF(AND(G250="Yes",H250="Yes"),"Top-right","Other")</x:f>
        <x:v>Other</x:v>
      </x:c>
    </x:row>
    <x:row r="251">
      <x:c r="A251" s="23" t="str">
        <x:v>Kautzer and Sons</x:v>
      </x:c>
      <x:c r="B251" s="24" t="n">
        <x:v>67</x:v>
      </x:c>
      <x:c r="C251" s="24" t="n">
        <x:v>0</x:v>
      </x:c>
      <x:c r="D251" s="26" t="n">
        <x:v>0</x:v>
      </x:c>
      <x:c r="E251" s="24" t="n">
        <x:f>B251-C251</x:f>
        <x:v>67</x:v>
      </x:c>
      <x:c r="F251" s="25" t="n">
        <x:f>C251/B251</x:f>
        <x:v>0</x:v>
      </x:c>
      <x:c r="G251" s="23" t="str">
        <x:f>IF(B251&gt;$B$5,"Yes","No")</x:f>
        <x:v>No</x:v>
      </x:c>
      <x:c r="H251" s="23" t="str">
        <x:f>IF(F251&gt;$B$4,"Yes","No")</x:f>
        <x:v>No</x:v>
      </x:c>
      <x:c r="I251" s="23" t="str">
        <x:f>IF(AND(G251="Yes",H251="Yes"),"Top-right","Other")</x:f>
        <x:v>Other</x:v>
      </x:c>
    </x:row>
    <x:row r="252">
      <x:c r="A252" s="23" t="str">
        <x:v>Koss, Hansen and Lueilwitz</x:v>
      </x:c>
      <x:c r="B252" s="24" t="n">
        <x:v>67</x:v>
      </x:c>
      <x:c r="C252" s="24" t="n">
        <x:v>0</x:v>
      </x:c>
      <x:c r="D252" s="26" t="n">
        <x:v>0</x:v>
      </x:c>
      <x:c r="E252" s="24" t="n">
        <x:f>B252-C252</x:f>
        <x:v>67</x:v>
      </x:c>
      <x:c r="F252" s="25" t="n">
        <x:f>C252/B252</x:f>
        <x:v>0</x:v>
      </x:c>
      <x:c r="G252" s="23" t="str">
        <x:f>IF(B252&gt;$B$5,"Yes","No")</x:f>
        <x:v>No</x:v>
      </x:c>
      <x:c r="H252" s="23" t="str">
        <x:f>IF(F252&gt;$B$4,"Yes","No")</x:f>
        <x:v>No</x:v>
      </x:c>
      <x:c r="I252" s="23" t="str">
        <x:f>IF(AND(G252="Yes",H252="Yes"),"Top-right","Other")</x:f>
        <x:v>Other</x:v>
      </x:c>
    </x:row>
    <x:row r="253">
      <x:c r="A253" s="23" t="str">
        <x:v>Kuhic, Bins and Pfeffer</x:v>
      </x:c>
      <x:c r="B253" s="24" t="n">
        <x:v>67</x:v>
      </x:c>
      <x:c r="C253" s="24" t="n">
        <x:v>1</x:v>
      </x:c>
      <x:c r="D253" s="26" t="n">
        <x:v>1025.7</x:v>
      </x:c>
      <x:c r="E253" s="24" t="n">
        <x:f>B253-C253</x:f>
        <x:v>66</x:v>
      </x:c>
      <x:c r="F253" s="25" t="n">
        <x:f>C253/B253</x:f>
        <x:v>0.014925373134328358</x:v>
      </x:c>
      <x:c r="G253" s="23" t="str">
        <x:f>IF(B253&gt;$B$5,"Yes","No")</x:f>
        <x:v>No</x:v>
      </x:c>
      <x:c r="H253" s="23" t="str">
        <x:f>IF(F253&gt;$B$4,"Yes","No")</x:f>
        <x:v>Yes</x:v>
      </x:c>
      <x:c r="I253" s="23" t="str">
        <x:f>IF(AND(G253="Yes",H253="Yes"),"Top-right","Other")</x:f>
        <x:v>Other</x:v>
      </x:c>
    </x:row>
    <x:row r="254">
      <x:c r="A254" s="23" t="str">
        <x:v>Lynch-Wisozk</x:v>
      </x:c>
      <x:c r="B254" s="24" t="n">
        <x:v>67</x:v>
      </x:c>
      <x:c r="C254" s="24" t="n">
        <x:v>0</x:v>
      </x:c>
      <x:c r="D254" s="26" t="n">
        <x:v>0</x:v>
      </x:c>
      <x:c r="E254" s="24" t="n">
        <x:f>B254-C254</x:f>
        <x:v>67</x:v>
      </x:c>
      <x:c r="F254" s="25" t="n">
        <x:f>C254/B254</x:f>
        <x:v>0</x:v>
      </x:c>
      <x:c r="G254" s="23" t="str">
        <x:f>IF(B254&gt;$B$5,"Yes","No")</x:f>
        <x:v>No</x:v>
      </x:c>
      <x:c r="H254" s="23" t="str">
        <x:f>IF(F254&gt;$B$4,"Yes","No")</x:f>
        <x:v>No</x:v>
      </x:c>
      <x:c r="I254" s="23" t="str">
        <x:f>IF(AND(G254="Yes",H254="Yes"),"Top-right","Other")</x:f>
        <x:v>Other</x:v>
      </x:c>
    </x:row>
    <x:row r="255">
      <x:c r="A255" s="23" t="str">
        <x:v>Macejkovic-Lesch</x:v>
      </x:c>
      <x:c r="B255" s="24" t="n">
        <x:v>67</x:v>
      </x:c>
      <x:c r="C255" s="24" t="n">
        <x:v>0</x:v>
      </x:c>
      <x:c r="D255" s="26" t="n">
        <x:v>0</x:v>
      </x:c>
      <x:c r="E255" s="24" t="n">
        <x:f>B255-C255</x:f>
        <x:v>67</x:v>
      </x:c>
      <x:c r="F255" s="25" t="n">
        <x:f>C255/B255</x:f>
        <x:v>0</x:v>
      </x:c>
      <x:c r="G255" s="23" t="str">
        <x:f>IF(B255&gt;$B$5,"Yes","No")</x:f>
        <x:v>No</x:v>
      </x:c>
      <x:c r="H255" s="23" t="str">
        <x:f>IF(F255&gt;$B$4,"Yes","No")</x:f>
        <x:v>No</x:v>
      </x:c>
      <x:c r="I255" s="23" t="str">
        <x:f>IF(AND(G255="Yes",H255="Yes"),"Top-right","Other")</x:f>
        <x:v>Other</x:v>
      </x:c>
    </x:row>
    <x:row r="256">
      <x:c r="A256" s="23" t="str">
        <x:v>Monahan-Morar</x:v>
      </x:c>
      <x:c r="B256" s="24" t="n">
        <x:v>67</x:v>
      </x:c>
      <x:c r="C256" s="24" t="n">
        <x:v>0</x:v>
      </x:c>
      <x:c r="D256" s="26" t="n">
        <x:v>0</x:v>
      </x:c>
      <x:c r="E256" s="24" t="n">
        <x:f>B256-C256</x:f>
        <x:v>67</x:v>
      </x:c>
      <x:c r="F256" s="25" t="n">
        <x:f>C256/B256</x:f>
        <x:v>0</x:v>
      </x:c>
      <x:c r="G256" s="23" t="str">
        <x:f>IF(B256&gt;$B$5,"Yes","No")</x:f>
        <x:v>No</x:v>
      </x:c>
      <x:c r="H256" s="23" t="str">
        <x:f>IF(F256&gt;$B$4,"Yes","No")</x:f>
        <x:v>No</x:v>
      </x:c>
      <x:c r="I256" s="23" t="str">
        <x:f>IF(AND(G256="Yes",H256="Yes"),"Top-right","Other")</x:f>
        <x:v>Other</x:v>
      </x:c>
    </x:row>
    <x:row r="257">
      <x:c r="A257" s="23" t="str">
        <x:v>Pfeffer and Sons</x:v>
      </x:c>
      <x:c r="B257" s="24" t="n">
        <x:v>67</x:v>
      </x:c>
      <x:c r="C257" s="24" t="n">
        <x:v>0</x:v>
      </x:c>
      <x:c r="D257" s="26" t="n">
        <x:v>0</x:v>
      </x:c>
      <x:c r="E257" s="24" t="n">
        <x:f>B257-C257</x:f>
        <x:v>67</x:v>
      </x:c>
      <x:c r="F257" s="25" t="n">
        <x:f>C257/B257</x:f>
        <x:v>0</x:v>
      </x:c>
      <x:c r="G257" s="23" t="str">
        <x:f>IF(B257&gt;$B$5,"Yes","No")</x:f>
        <x:v>No</x:v>
      </x:c>
      <x:c r="H257" s="23" t="str">
        <x:f>IF(F257&gt;$B$4,"Yes","No")</x:f>
        <x:v>No</x:v>
      </x:c>
      <x:c r="I257" s="23" t="str">
        <x:f>IF(AND(G257="Yes",H257="Yes"),"Top-right","Other")</x:f>
        <x:v>Other</x:v>
      </x:c>
    </x:row>
    <x:row r="258">
      <x:c r="A258" s="23" t="str">
        <x:v>Reichert, Shanahan and Hayes</x:v>
      </x:c>
      <x:c r="B258" s="24" t="n">
        <x:v>67</x:v>
      </x:c>
      <x:c r="C258" s="24" t="n">
        <x:v>0</x:v>
      </x:c>
      <x:c r="D258" s="26" t="n">
        <x:v>0</x:v>
      </x:c>
      <x:c r="E258" s="24" t="n">
        <x:f>B258-C258</x:f>
        <x:v>67</x:v>
      </x:c>
      <x:c r="F258" s="25" t="n">
        <x:f>C258/B258</x:f>
        <x:v>0</x:v>
      </x:c>
      <x:c r="G258" s="23" t="str">
        <x:f>IF(B258&gt;$B$5,"Yes","No")</x:f>
        <x:v>No</x:v>
      </x:c>
      <x:c r="H258" s="23" t="str">
        <x:f>IF(F258&gt;$B$4,"Yes","No")</x:f>
        <x:v>No</x:v>
      </x:c>
      <x:c r="I258" s="23" t="str">
        <x:f>IF(AND(G258="Yes",H258="Yes"),"Top-right","Other")</x:f>
        <x:v>Other</x:v>
      </x:c>
    </x:row>
    <x:row r="259">
      <x:c r="A259" s="23" t="str">
        <x:v>Schmeler, Bashirian and Price</x:v>
      </x:c>
      <x:c r="B259" s="24" t="n">
        <x:v>67</x:v>
      </x:c>
      <x:c r="C259" s="24" t="n">
        <x:v>1</x:v>
      </x:c>
      <x:c r="D259" s="26" t="n">
        <x:v>916.24</x:v>
      </x:c>
      <x:c r="E259" s="24" t="n">
        <x:f>B259-C259</x:f>
        <x:v>66</x:v>
      </x:c>
      <x:c r="F259" s="25" t="n">
        <x:f>C259/B259</x:f>
        <x:v>0.014925373134328358</x:v>
      </x:c>
      <x:c r="G259" s="23" t="str">
        <x:f>IF(B259&gt;$B$5,"Yes","No")</x:f>
        <x:v>No</x:v>
      </x:c>
      <x:c r="H259" s="23" t="str">
        <x:f>IF(F259&gt;$B$4,"Yes","No")</x:f>
        <x:v>Yes</x:v>
      </x:c>
      <x:c r="I259" s="23" t="str">
        <x:f>IF(AND(G259="Yes",H259="Yes"),"Top-right","Other")</x:f>
        <x:v>Other</x:v>
      </x:c>
    </x:row>
    <x:row r="260">
      <x:c r="A260" s="23" t="str">
        <x:v>Stamm-Witting</x:v>
      </x:c>
      <x:c r="B260" s="24" t="n">
        <x:v>67</x:v>
      </x:c>
      <x:c r="C260" s="24" t="n">
        <x:v>0</x:v>
      </x:c>
      <x:c r="D260" s="26" t="n">
        <x:v>0</x:v>
      </x:c>
      <x:c r="E260" s="24" t="n">
        <x:f>B260-C260</x:f>
        <x:v>67</x:v>
      </x:c>
      <x:c r="F260" s="25" t="n">
        <x:f>C260/B260</x:f>
        <x:v>0</x:v>
      </x:c>
      <x:c r="G260" s="23" t="str">
        <x:f>IF(B260&gt;$B$5,"Yes","No")</x:f>
        <x:v>No</x:v>
      </x:c>
      <x:c r="H260" s="23" t="str">
        <x:f>IF(F260&gt;$B$4,"Yes","No")</x:f>
        <x:v>No</x:v>
      </x:c>
      <x:c r="I260" s="23" t="str">
        <x:f>IF(AND(G260="Yes",H260="Yes"),"Top-right","Other")</x:f>
        <x:v>Other</x:v>
      </x:c>
    </x:row>
    <x:row r="261">
      <x:c r="A261" s="23" t="str">
        <x:v>Terry, Johns and Bins</x:v>
      </x:c>
      <x:c r="B261" s="24" t="n">
        <x:v>67</x:v>
      </x:c>
      <x:c r="C261" s="24" t="n">
        <x:v>1</x:v>
      </x:c>
      <x:c r="D261" s="26" t="n">
        <x:v>8.74</x:v>
      </x:c>
      <x:c r="E261" s="24" t="n">
        <x:f>B261-C261</x:f>
        <x:v>66</x:v>
      </x:c>
      <x:c r="F261" s="25" t="n">
        <x:f>C261/B261</x:f>
        <x:v>0.014925373134328358</x:v>
      </x:c>
      <x:c r="G261" s="23" t="str">
        <x:f>IF(B261&gt;$B$5,"Yes","No")</x:f>
        <x:v>No</x:v>
      </x:c>
      <x:c r="H261" s="23" t="str">
        <x:f>IF(F261&gt;$B$4,"Yes","No")</x:f>
        <x:v>Yes</x:v>
      </x:c>
      <x:c r="I261" s="23" t="str">
        <x:f>IF(AND(G261="Yes",H261="Yes"),"Top-right","Other")</x:f>
        <x:v>Other</x:v>
      </x:c>
    </x:row>
    <x:row r="262">
      <x:c r="A262" s="23" t="str">
        <x:v>Turner and Sons</x:v>
      </x:c>
      <x:c r="B262" s="24" t="n">
        <x:v>67</x:v>
      </x:c>
      <x:c r="C262" s="24" t="n">
        <x:v>0</x:v>
      </x:c>
      <x:c r="D262" s="26" t="n">
        <x:v>0</x:v>
      </x:c>
      <x:c r="E262" s="24" t="n">
        <x:f>B262-C262</x:f>
        <x:v>67</x:v>
      </x:c>
      <x:c r="F262" s="25" t="n">
        <x:f>C262/B262</x:f>
        <x:v>0</x:v>
      </x:c>
      <x:c r="G262" s="23" t="str">
        <x:f>IF(B262&gt;$B$5,"Yes","No")</x:f>
        <x:v>No</x:v>
      </x:c>
      <x:c r="H262" s="23" t="str">
        <x:f>IF(F262&gt;$B$4,"Yes","No")</x:f>
        <x:v>No</x:v>
      </x:c>
      <x:c r="I262" s="23" t="str">
        <x:f>IF(AND(G262="Yes",H262="Yes"),"Top-right","Other")</x:f>
        <x:v>Other</x:v>
      </x:c>
    </x:row>
    <x:row r="263">
      <x:c r="A263" s="23" t="str">
        <x:v>Donnelly LLC</x:v>
      </x:c>
      <x:c r="B263" s="24" t="n">
        <x:v>68</x:v>
      </x:c>
      <x:c r="C263" s="24" t="n">
        <x:v>0</x:v>
      </x:c>
      <x:c r="D263" s="26" t="n">
        <x:v>0</x:v>
      </x:c>
      <x:c r="E263" s="24" t="n">
        <x:f>B263-C263</x:f>
        <x:v>68</x:v>
      </x:c>
      <x:c r="F263" s="25" t="n">
        <x:f>C263/B263</x:f>
        <x:v>0</x:v>
      </x:c>
      <x:c r="G263" s="23" t="str">
        <x:f>IF(B263&gt;$B$5,"Yes","No")</x:f>
        <x:v>No</x:v>
      </x:c>
      <x:c r="H263" s="23" t="str">
        <x:f>IF(F263&gt;$B$4,"Yes","No")</x:f>
        <x:v>No</x:v>
      </x:c>
      <x:c r="I263" s="23" t="str">
        <x:f>IF(AND(G263="Yes",H263="Yes"),"Top-right","Other")</x:f>
        <x:v>Other</x:v>
      </x:c>
    </x:row>
    <x:row r="264">
      <x:c r="A264" s="23" t="str">
        <x:v>Erdman-Kertzmann</x:v>
      </x:c>
      <x:c r="B264" s="24" t="n">
        <x:v>68</x:v>
      </x:c>
      <x:c r="C264" s="24" t="n">
        <x:v>0</x:v>
      </x:c>
      <x:c r="D264" s="26" t="n">
        <x:v>0</x:v>
      </x:c>
      <x:c r="E264" s="24" t="n">
        <x:f>B264-C264</x:f>
        <x:v>68</x:v>
      </x:c>
      <x:c r="F264" s="25" t="n">
        <x:f>C264/B264</x:f>
        <x:v>0</x:v>
      </x:c>
      <x:c r="G264" s="23" t="str">
        <x:f>IF(B264&gt;$B$5,"Yes","No")</x:f>
        <x:v>No</x:v>
      </x:c>
      <x:c r="H264" s="23" t="str">
        <x:f>IF(F264&gt;$B$4,"Yes","No")</x:f>
        <x:v>No</x:v>
      </x:c>
      <x:c r="I264" s="23" t="str">
        <x:f>IF(AND(G264="Yes",H264="Yes"),"Top-right","Other")</x:f>
        <x:v>Other</x:v>
      </x:c>
    </x:row>
    <x:row r="265">
      <x:c r="A265" s="23" t="str">
        <x:v>Hagenes, Kohler and Hoppe</x:v>
      </x:c>
      <x:c r="B265" s="24" t="n">
        <x:v>68</x:v>
      </x:c>
      <x:c r="C265" s="24" t="n">
        <x:v>0</x:v>
      </x:c>
      <x:c r="D265" s="26" t="n">
        <x:v>0</x:v>
      </x:c>
      <x:c r="E265" s="24" t="n">
        <x:f>B265-C265</x:f>
        <x:v>68</x:v>
      </x:c>
      <x:c r="F265" s="25" t="n">
        <x:f>C265/B265</x:f>
        <x:v>0</x:v>
      </x:c>
      <x:c r="G265" s="23" t="str">
        <x:f>IF(B265&gt;$B$5,"Yes","No")</x:f>
        <x:v>No</x:v>
      </x:c>
      <x:c r="H265" s="23" t="str">
        <x:f>IF(F265&gt;$B$4,"Yes","No")</x:f>
        <x:v>No</x:v>
      </x:c>
      <x:c r="I265" s="23" t="str">
        <x:f>IF(AND(G265="Yes",H265="Yes"),"Top-right","Other")</x:f>
        <x:v>Other</x:v>
      </x:c>
    </x:row>
    <x:row r="266">
      <x:c r="A266" s="23" t="str">
        <x:v>Hermiston, Russel and Price</x:v>
      </x:c>
      <x:c r="B266" s="24" t="n">
        <x:v>68</x:v>
      </x:c>
      <x:c r="C266" s="24" t="n">
        <x:v>0</x:v>
      </x:c>
      <x:c r="D266" s="26" t="n">
        <x:v>0</x:v>
      </x:c>
      <x:c r="E266" s="24" t="n">
        <x:f>B266-C266</x:f>
        <x:v>68</x:v>
      </x:c>
      <x:c r="F266" s="25" t="n">
        <x:f>C266/B266</x:f>
        <x:v>0</x:v>
      </x:c>
      <x:c r="G266" s="23" t="str">
        <x:f>IF(B266&gt;$B$5,"Yes","No")</x:f>
        <x:v>No</x:v>
      </x:c>
      <x:c r="H266" s="23" t="str">
        <x:f>IF(F266&gt;$B$4,"Yes","No")</x:f>
        <x:v>No</x:v>
      </x:c>
      <x:c r="I266" s="23" t="str">
        <x:f>IF(AND(G266="Yes",H266="Yes"),"Top-right","Other")</x:f>
        <x:v>Other</x:v>
      </x:c>
    </x:row>
    <x:row r="267">
      <x:c r="A267" s="23" t="str">
        <x:v>Howe PLC</x:v>
      </x:c>
      <x:c r="B267" s="24" t="n">
        <x:v>68</x:v>
      </x:c>
      <x:c r="C267" s="24" t="n">
        <x:v>1</x:v>
      </x:c>
      <x:c r="D267" s="26" t="n">
        <x:v>490.96</x:v>
      </x:c>
      <x:c r="E267" s="24" t="n">
        <x:f>B267-C267</x:f>
        <x:v>67</x:v>
      </x:c>
      <x:c r="F267" s="25" t="n">
        <x:f>C267/B267</x:f>
        <x:v>0.014705882352941176</x:v>
      </x:c>
      <x:c r="G267" s="23" t="str">
        <x:f>IF(B267&gt;$B$5,"Yes","No")</x:f>
        <x:v>No</x:v>
      </x:c>
      <x:c r="H267" s="23" t="str">
        <x:f>IF(F267&gt;$B$4,"Yes","No")</x:f>
        <x:v>Yes</x:v>
      </x:c>
      <x:c r="I267" s="23" t="str">
        <x:f>IF(AND(G267="Yes",H267="Yes"),"Top-right","Other")</x:f>
        <x:v>Other</x:v>
      </x:c>
    </x:row>
    <x:row r="268">
      <x:c r="A268" s="23" t="str">
        <x:v>Kiehn Inc</x:v>
      </x:c>
      <x:c r="B268" s="24" t="n">
        <x:v>68</x:v>
      </x:c>
      <x:c r="C268" s="24" t="n">
        <x:v>0</x:v>
      </x:c>
      <x:c r="D268" s="26" t="n">
        <x:v>0</x:v>
      </x:c>
      <x:c r="E268" s="24" t="n">
        <x:f>B268-C268</x:f>
        <x:v>68</x:v>
      </x:c>
      <x:c r="F268" s="25" t="n">
        <x:f>C268/B268</x:f>
        <x:v>0</x:v>
      </x:c>
      <x:c r="G268" s="23" t="str">
        <x:f>IF(B268&gt;$B$5,"Yes","No")</x:f>
        <x:v>No</x:v>
      </x:c>
      <x:c r="H268" s="23" t="str">
        <x:f>IF(F268&gt;$B$4,"Yes","No")</x:f>
        <x:v>No</x:v>
      </x:c>
      <x:c r="I268" s="23" t="str">
        <x:f>IF(AND(G268="Yes",H268="Yes"),"Top-right","Other")</x:f>
        <x:v>Other</x:v>
      </x:c>
    </x:row>
    <x:row r="269">
      <x:c r="A269" s="23" t="str">
        <x:v>Lang, Towne and Schuppe</x:v>
      </x:c>
      <x:c r="B269" s="24" t="n">
        <x:v>68</x:v>
      </x:c>
      <x:c r="C269" s="24" t="n">
        <x:v>0</x:v>
      </x:c>
      <x:c r="D269" s="26" t="n">
        <x:v>0</x:v>
      </x:c>
      <x:c r="E269" s="24" t="n">
        <x:f>B269-C269</x:f>
        <x:v>68</x:v>
      </x:c>
      <x:c r="F269" s="25" t="n">
        <x:f>C269/B269</x:f>
        <x:v>0</x:v>
      </x:c>
      <x:c r="G269" s="23" t="str">
        <x:f>IF(B269&gt;$B$5,"Yes","No")</x:f>
        <x:v>No</x:v>
      </x:c>
      <x:c r="H269" s="23" t="str">
        <x:f>IF(F269&gt;$B$4,"Yes","No")</x:f>
        <x:v>No</x:v>
      </x:c>
      <x:c r="I269" s="23" t="str">
        <x:f>IF(AND(G269="Yes",H269="Yes"),"Top-right","Other")</x:f>
        <x:v>Other</x:v>
      </x:c>
    </x:row>
    <x:row r="270">
      <x:c r="A270" s="23" t="str">
        <x:v>Medhurst, Cartwright and Ebert</x:v>
      </x:c>
      <x:c r="B270" s="24" t="n">
        <x:v>68</x:v>
      </x:c>
      <x:c r="C270" s="24" t="n">
        <x:v>0</x:v>
      </x:c>
      <x:c r="D270" s="26" t="n">
        <x:v>0</x:v>
      </x:c>
      <x:c r="E270" s="24" t="n">
        <x:f>B270-C270</x:f>
        <x:v>68</x:v>
      </x:c>
      <x:c r="F270" s="25" t="n">
        <x:f>C270/B270</x:f>
        <x:v>0</x:v>
      </x:c>
      <x:c r="G270" s="23" t="str">
        <x:f>IF(B270&gt;$B$5,"Yes","No")</x:f>
        <x:v>No</x:v>
      </x:c>
      <x:c r="H270" s="23" t="str">
        <x:f>IF(F270&gt;$B$4,"Yes","No")</x:f>
        <x:v>No</x:v>
      </x:c>
      <x:c r="I270" s="23" t="str">
        <x:f>IF(AND(G270="Yes",H270="Yes"),"Top-right","Other")</x:f>
        <x:v>Other</x:v>
      </x:c>
    </x:row>
    <x:row r="271">
      <x:c r="A271" s="23" t="str">
        <x:v>Okuneva, Schneider and Rau</x:v>
      </x:c>
      <x:c r="B271" s="24" t="n">
        <x:v>68</x:v>
      </x:c>
      <x:c r="C271" s="24" t="n">
        <x:v>0</x:v>
      </x:c>
      <x:c r="D271" s="26" t="n">
        <x:v>0</x:v>
      </x:c>
      <x:c r="E271" s="24" t="n">
        <x:f>B271-C271</x:f>
        <x:v>68</x:v>
      </x:c>
      <x:c r="F271" s="25" t="n">
        <x:f>C271/B271</x:f>
        <x:v>0</x:v>
      </x:c>
      <x:c r="G271" s="23" t="str">
        <x:f>IF(B271&gt;$B$5,"Yes","No")</x:f>
        <x:v>No</x:v>
      </x:c>
      <x:c r="H271" s="23" t="str">
        <x:f>IF(F271&gt;$B$4,"Yes","No")</x:f>
        <x:v>No</x:v>
      </x:c>
      <x:c r="I271" s="23" t="str">
        <x:f>IF(AND(G271="Yes",H271="Yes"),"Top-right","Other")</x:f>
        <x:v>Other</x:v>
      </x:c>
    </x:row>
    <x:row r="272">
      <x:c r="A272" s="23" t="str">
        <x:v>Schumm, McLaughlin and Carter</x:v>
      </x:c>
      <x:c r="B272" s="24" t="n">
        <x:v>68</x:v>
      </x:c>
      <x:c r="C272" s="24" t="n">
        <x:v>0</x:v>
      </x:c>
      <x:c r="D272" s="26" t="n">
        <x:v>0</x:v>
      </x:c>
      <x:c r="E272" s="24" t="n">
        <x:f>B272-C272</x:f>
        <x:v>68</x:v>
      </x:c>
      <x:c r="F272" s="25" t="n">
        <x:f>C272/B272</x:f>
        <x:v>0</x:v>
      </x:c>
      <x:c r="G272" s="23" t="str">
        <x:f>IF(B272&gt;$B$5,"Yes","No")</x:f>
        <x:v>No</x:v>
      </x:c>
      <x:c r="H272" s="23" t="str">
        <x:f>IF(F272&gt;$B$4,"Yes","No")</x:f>
        <x:v>No</x:v>
      </x:c>
      <x:c r="I272" s="23" t="str">
        <x:f>IF(AND(G272="Yes",H272="Yes"),"Top-right","Other")</x:f>
        <x:v>Other</x:v>
      </x:c>
    </x:row>
    <x:row r="273">
      <x:c r="A273" s="23" t="str">
        <x:v>Shields-Wunsch</x:v>
      </x:c>
      <x:c r="B273" s="24" t="n">
        <x:v>68</x:v>
      </x:c>
      <x:c r="C273" s="24" t="n">
        <x:v>0</x:v>
      </x:c>
      <x:c r="D273" s="26" t="n">
        <x:v>0</x:v>
      </x:c>
      <x:c r="E273" s="24" t="n">
        <x:f>B273-C273</x:f>
        <x:v>68</x:v>
      </x:c>
      <x:c r="F273" s="25" t="n">
        <x:f>C273/B273</x:f>
        <x:v>0</x:v>
      </x:c>
      <x:c r="G273" s="23" t="str">
        <x:f>IF(B273&gt;$B$5,"Yes","No")</x:f>
        <x:v>No</x:v>
      </x:c>
      <x:c r="H273" s="23" t="str">
        <x:f>IF(F273&gt;$B$4,"Yes","No")</x:f>
        <x:v>No</x:v>
      </x:c>
      <x:c r="I273" s="23" t="str">
        <x:f>IF(AND(G273="Yes",H273="Yes"),"Top-right","Other")</x:f>
        <x:v>Other</x:v>
      </x:c>
    </x:row>
    <x:row r="274">
      <x:c r="A274" s="23" t="str">
        <x:v>Baumbach, Strosin and Nicolas</x:v>
      </x:c>
      <x:c r="B274" s="24" t="n">
        <x:v>69</x:v>
      </x:c>
      <x:c r="C274" s="24" t="n">
        <x:v>1</x:v>
      </x:c>
      <x:c r="D274" s="26" t="n">
        <x:v>970.6</x:v>
      </x:c>
      <x:c r="E274" s="24" t="n">
        <x:f>B274-C274</x:f>
        <x:v>68</x:v>
      </x:c>
      <x:c r="F274" s="25" t="n">
        <x:f>C274/B274</x:f>
        <x:v>0.014492753623188406</x:v>
      </x:c>
      <x:c r="G274" s="23" t="str">
        <x:f>IF(B274&gt;$B$5,"Yes","No")</x:f>
        <x:v>Yes</x:v>
      </x:c>
      <x:c r="H274" s="23" t="str">
        <x:f>IF(F274&gt;$B$4,"Yes","No")</x:f>
        <x:v>Yes</x:v>
      </x:c>
      <x:c r="I274" s="23" t="str">
        <x:f>IF(AND(G274="Yes",H274="Yes"),"Top-right","Other")</x:f>
        <x:v>Top-right</x:v>
      </x:c>
    </x:row>
    <x:row r="275">
      <x:c r="A275" s="23" t="str">
        <x:v>Bode-Schuster</x:v>
      </x:c>
      <x:c r="B275" s="24" t="n">
        <x:v>69</x:v>
      </x:c>
      <x:c r="C275" s="24" t="n">
        <x:v>0</x:v>
      </x:c>
      <x:c r="D275" s="26" t="n">
        <x:v>0</x:v>
      </x:c>
      <x:c r="E275" s="24" t="n">
        <x:f>B275-C275</x:f>
        <x:v>69</x:v>
      </x:c>
      <x:c r="F275" s="25" t="n">
        <x:f>C275/B275</x:f>
        <x:v>0</x:v>
      </x:c>
      <x:c r="G275" s="23" t="str">
        <x:f>IF(B275&gt;$B$5,"Yes","No")</x:f>
        <x:v>Yes</x:v>
      </x:c>
      <x:c r="H275" s="23" t="str">
        <x:f>IF(F275&gt;$B$4,"Yes","No")</x:f>
        <x:v>No</x:v>
      </x:c>
      <x:c r="I275" s="23" t="str">
        <x:f>IF(AND(G275="Yes",H275="Yes"),"Top-right","Other")</x:f>
        <x:v>Other</x:v>
      </x:c>
    </x:row>
    <x:row r="276">
      <x:c r="A276" s="23" t="str">
        <x:v>Bradtke, Torp and Bahringer</x:v>
      </x:c>
      <x:c r="B276" s="24" t="n">
        <x:v>69</x:v>
      </x:c>
      <x:c r="C276" s="24" t="n">
        <x:v>1</x:v>
      </x:c>
      <x:c r="D276" s="26" t="n">
        <x:v>49.3</x:v>
      </x:c>
      <x:c r="E276" s="24" t="n">
        <x:f>B276-C276</x:f>
        <x:v>68</x:v>
      </x:c>
      <x:c r="F276" s="25" t="n">
        <x:f>C276/B276</x:f>
        <x:v>0.014492753623188406</x:v>
      </x:c>
      <x:c r="G276" s="23" t="str">
        <x:f>IF(B276&gt;$B$5,"Yes","No")</x:f>
        <x:v>Yes</x:v>
      </x:c>
      <x:c r="H276" s="23" t="str">
        <x:f>IF(F276&gt;$B$4,"Yes","No")</x:f>
        <x:v>Yes</x:v>
      </x:c>
      <x:c r="I276" s="23" t="str">
        <x:f>IF(AND(G276="Yes",H276="Yes"),"Top-right","Other")</x:f>
        <x:v>Top-right</x:v>
      </x:c>
    </x:row>
    <x:row r="277">
      <x:c r="A277" s="23" t="str">
        <x:v>Cartwright-Harris</x:v>
      </x:c>
      <x:c r="B277" s="24" t="n">
        <x:v>69</x:v>
      </x:c>
      <x:c r="C277" s="24" t="n">
        <x:v>0</x:v>
      </x:c>
      <x:c r="D277" s="26" t="n">
        <x:v>0</x:v>
      </x:c>
      <x:c r="E277" s="24" t="n">
        <x:f>B277-C277</x:f>
        <x:v>69</x:v>
      </x:c>
      <x:c r="F277" s="25" t="n">
        <x:f>C277/B277</x:f>
        <x:v>0</x:v>
      </x:c>
      <x:c r="G277" s="23" t="str">
        <x:f>IF(B277&gt;$B$5,"Yes","No")</x:f>
        <x:v>Yes</x:v>
      </x:c>
      <x:c r="H277" s="23" t="str">
        <x:f>IF(F277&gt;$B$4,"Yes","No")</x:f>
        <x:v>No</x:v>
      </x:c>
      <x:c r="I277" s="23" t="str">
        <x:f>IF(AND(G277="Yes",H277="Yes"),"Top-right","Other")</x:f>
        <x:v>Other</x:v>
      </x:c>
    </x:row>
    <x:row r="278">
      <x:c r="A278" s="23" t="str">
        <x:v>Heaney-Marquardt</x:v>
      </x:c>
      <x:c r="B278" s="24" t="n">
        <x:v>69</x:v>
      </x:c>
      <x:c r="C278" s="24" t="n">
        <x:v>0</x:v>
      </x:c>
      <x:c r="D278" s="26" t="n">
        <x:v>0</x:v>
      </x:c>
      <x:c r="E278" s="24" t="n">
        <x:f>B278-C278</x:f>
        <x:v>69</x:v>
      </x:c>
      <x:c r="F278" s="25" t="n">
        <x:f>C278/B278</x:f>
        <x:v>0</x:v>
      </x:c>
      <x:c r="G278" s="23" t="str">
        <x:f>IF(B278&gt;$B$5,"Yes","No")</x:f>
        <x:v>Yes</x:v>
      </x:c>
      <x:c r="H278" s="23" t="str">
        <x:f>IF(F278&gt;$B$4,"Yes","No")</x:f>
        <x:v>No</x:v>
      </x:c>
      <x:c r="I278" s="23" t="str">
        <x:f>IF(AND(G278="Yes",H278="Yes"),"Top-right","Other")</x:f>
        <x:v>Other</x:v>
      </x:c>
    </x:row>
    <x:row r="279">
      <x:c r="A279" s="23" t="str">
        <x:v>Homenick LLC</x:v>
      </x:c>
      <x:c r="B279" s="24" t="n">
        <x:v>69</x:v>
      </x:c>
      <x:c r="C279" s="24" t="n">
        <x:v>0</x:v>
      </x:c>
      <x:c r="D279" s="26" t="n">
        <x:v>0</x:v>
      </x:c>
      <x:c r="E279" s="24" t="n">
        <x:f>B279-C279</x:f>
        <x:v>69</x:v>
      </x:c>
      <x:c r="F279" s="25" t="n">
        <x:f>C279/B279</x:f>
        <x:v>0</x:v>
      </x:c>
      <x:c r="G279" s="23" t="str">
        <x:f>IF(B279&gt;$B$5,"Yes","No")</x:f>
        <x:v>Yes</x:v>
      </x:c>
      <x:c r="H279" s="23" t="str">
        <x:f>IF(F279&gt;$B$4,"Yes","No")</x:f>
        <x:v>No</x:v>
      </x:c>
      <x:c r="I279" s="23" t="str">
        <x:f>IF(AND(G279="Yes",H279="Yes"),"Top-right","Other")</x:f>
        <x:v>Other</x:v>
      </x:c>
    </x:row>
    <x:row r="280">
      <x:c r="A280" s="23" t="str">
        <x:v>McKenzie-Huels</x:v>
      </x:c>
      <x:c r="B280" s="24" t="n">
        <x:v>69</x:v>
      </x:c>
      <x:c r="C280" s="24" t="n">
        <x:v>0</x:v>
      </x:c>
      <x:c r="D280" s="26" t="n">
        <x:v>0</x:v>
      </x:c>
      <x:c r="E280" s="24" t="n">
        <x:f>B280-C280</x:f>
        <x:v>69</x:v>
      </x:c>
      <x:c r="F280" s="25" t="n">
        <x:f>C280/B280</x:f>
        <x:v>0</x:v>
      </x:c>
      <x:c r="G280" s="23" t="str">
        <x:f>IF(B280&gt;$B$5,"Yes","No")</x:f>
        <x:v>Yes</x:v>
      </x:c>
      <x:c r="H280" s="23" t="str">
        <x:f>IF(F280&gt;$B$4,"Yes","No")</x:f>
        <x:v>No</x:v>
      </x:c>
      <x:c r="I280" s="23" t="str">
        <x:f>IF(AND(G280="Yes",H280="Yes"),"Top-right","Other")</x:f>
        <x:v>Other</x:v>
      </x:c>
    </x:row>
    <x:row r="281">
      <x:c r="A281" s="23" t="str">
        <x:v>Prosacco, Kreiger and Kovacek</x:v>
      </x:c>
      <x:c r="B281" s="24" t="n">
        <x:v>69</x:v>
      </x:c>
      <x:c r="C281" s="24" t="n">
        <x:v>0</x:v>
      </x:c>
      <x:c r="D281" s="26" t="n">
        <x:v>0</x:v>
      </x:c>
      <x:c r="E281" s="24" t="n">
        <x:f>B281-C281</x:f>
        <x:v>69</x:v>
      </x:c>
      <x:c r="F281" s="25" t="n">
        <x:f>C281/B281</x:f>
        <x:v>0</x:v>
      </x:c>
      <x:c r="G281" s="23" t="str">
        <x:f>IF(B281&gt;$B$5,"Yes","No")</x:f>
        <x:v>Yes</x:v>
      </x:c>
      <x:c r="H281" s="23" t="str">
        <x:f>IF(F281&gt;$B$4,"Yes","No")</x:f>
        <x:v>No</x:v>
      </x:c>
      <x:c r="I281" s="23" t="str">
        <x:f>IF(AND(G281="Yes",H281="Yes"),"Top-right","Other")</x:f>
        <x:v>Other</x:v>
      </x:c>
    </x:row>
    <x:row r="282">
      <x:c r="A282" s="23" t="str">
        <x:v>Rempel Inc</x:v>
      </x:c>
      <x:c r="B282" s="24" t="n">
        <x:v>69</x:v>
      </x:c>
      <x:c r="C282" s="24" t="n">
        <x:v>0</x:v>
      </x:c>
      <x:c r="D282" s="26" t="n">
        <x:v>0</x:v>
      </x:c>
      <x:c r="E282" s="24" t="n">
        <x:f>B282-C282</x:f>
        <x:v>69</x:v>
      </x:c>
      <x:c r="F282" s="25" t="n">
        <x:f>C282/B282</x:f>
        <x:v>0</x:v>
      </x:c>
      <x:c r="G282" s="23" t="str">
        <x:f>IF(B282&gt;$B$5,"Yes","No")</x:f>
        <x:v>Yes</x:v>
      </x:c>
      <x:c r="H282" s="23" t="str">
        <x:f>IF(F282&gt;$B$4,"Yes","No")</x:f>
        <x:v>No</x:v>
      </x:c>
      <x:c r="I282" s="23" t="str">
        <x:f>IF(AND(G282="Yes",H282="Yes"),"Top-right","Other")</x:f>
        <x:v>Other</x:v>
      </x:c>
    </x:row>
    <x:row r="283">
      <x:c r="A283" s="23" t="str">
        <x:v>Schoen, Nienow and Bauch</x:v>
      </x:c>
      <x:c r="B283" s="24" t="n">
        <x:v>69</x:v>
      </x:c>
      <x:c r="C283" s="24" t="n">
        <x:v>0</x:v>
      </x:c>
      <x:c r="D283" s="26" t="n">
        <x:v>0</x:v>
      </x:c>
      <x:c r="E283" s="24" t="n">
        <x:f>B283-C283</x:f>
        <x:v>69</x:v>
      </x:c>
      <x:c r="F283" s="25" t="n">
        <x:f>C283/B283</x:f>
        <x:v>0</x:v>
      </x:c>
      <x:c r="G283" s="23" t="str">
        <x:f>IF(B283&gt;$B$5,"Yes","No")</x:f>
        <x:v>Yes</x:v>
      </x:c>
      <x:c r="H283" s="23" t="str">
        <x:f>IF(F283&gt;$B$4,"Yes","No")</x:f>
        <x:v>No</x:v>
      </x:c>
      <x:c r="I283" s="23" t="str">
        <x:f>IF(AND(G283="Yes",H283="Yes"),"Top-right","Other")</x:f>
        <x:v>Other</x:v>
      </x:c>
    </x:row>
    <x:row r="284">
      <x:c r="A284" s="23" t="str">
        <x:v>Zboncak, Rowe and Murazik</x:v>
      </x:c>
      <x:c r="B284" s="24" t="n">
        <x:v>69</x:v>
      </x:c>
      <x:c r="C284" s="24" t="n">
        <x:v>0</x:v>
      </x:c>
      <x:c r="D284" s="26" t="n">
        <x:v>0</x:v>
      </x:c>
      <x:c r="E284" s="24" t="n">
        <x:f>B284-C284</x:f>
        <x:v>69</x:v>
      </x:c>
      <x:c r="F284" s="25" t="n">
        <x:f>C284/B284</x:f>
        <x:v>0</x:v>
      </x:c>
      <x:c r="G284" s="23" t="str">
        <x:f>IF(B284&gt;$B$5,"Yes","No")</x:f>
        <x:v>Yes</x:v>
      </x:c>
      <x:c r="H284" s="23" t="str">
        <x:f>IF(F284&gt;$B$4,"Yes","No")</x:f>
        <x:v>No</x:v>
      </x:c>
      <x:c r="I284" s="23" t="str">
        <x:f>IF(AND(G284="Yes",H284="Yes"),"Top-right","Other")</x:f>
        <x:v>Other</x:v>
      </x:c>
    </x:row>
    <x:row r="285">
      <x:c r="A285" s="23" t="str">
        <x:v>Altenwerth-Kilback</x:v>
      </x:c>
      <x:c r="B285" s="24" t="n">
        <x:v>70</x:v>
      </x:c>
      <x:c r="C285" s="24" t="n">
        <x:v>0</x:v>
      </x:c>
      <x:c r="D285" s="26" t="n">
        <x:v>0</x:v>
      </x:c>
      <x:c r="E285" s="24" t="n">
        <x:f>B285-C285</x:f>
        <x:v>70</x:v>
      </x:c>
      <x:c r="F285" s="25" t="n">
        <x:f>C285/B285</x:f>
        <x:v>0</x:v>
      </x:c>
      <x:c r="G285" s="23" t="str">
        <x:f>IF(B285&gt;$B$5,"Yes","No")</x:f>
        <x:v>Yes</x:v>
      </x:c>
      <x:c r="H285" s="23" t="str">
        <x:f>IF(F285&gt;$B$4,"Yes","No")</x:f>
        <x:v>No</x:v>
      </x:c>
      <x:c r="I285" s="23" t="str">
        <x:f>IF(AND(G285="Yes",H285="Yes"),"Top-right","Other")</x:f>
        <x:v>Other</x:v>
      </x:c>
    </x:row>
    <x:row r="286">
      <x:c r="A286" s="23" t="str">
        <x:v>Bartoletti and Sons</x:v>
      </x:c>
      <x:c r="B286" s="24" t="n">
        <x:v>70</x:v>
      </x:c>
      <x:c r="C286" s="24" t="n">
        <x:v>0</x:v>
      </x:c>
      <x:c r="D286" s="26" t="n">
        <x:v>0</x:v>
      </x:c>
      <x:c r="E286" s="24" t="n">
        <x:f>B286-C286</x:f>
        <x:v>70</x:v>
      </x:c>
      <x:c r="F286" s="25" t="n">
        <x:f>C286/B286</x:f>
        <x:v>0</x:v>
      </x:c>
      <x:c r="G286" s="23" t="str">
        <x:f>IF(B286&gt;$B$5,"Yes","No")</x:f>
        <x:v>Yes</x:v>
      </x:c>
      <x:c r="H286" s="23" t="str">
        <x:f>IF(F286&gt;$B$4,"Yes","No")</x:f>
        <x:v>No</x:v>
      </x:c>
      <x:c r="I286" s="23" t="str">
        <x:f>IF(AND(G286="Yes",H286="Yes"),"Top-right","Other")</x:f>
        <x:v>Other</x:v>
      </x:c>
    </x:row>
    <x:row r="287">
      <x:c r="A287" s="23" t="str">
        <x:v>Bednar PLC</x:v>
      </x:c>
      <x:c r="B287" s="24" t="n">
        <x:v>70</x:v>
      </x:c>
      <x:c r="C287" s="24" t="n">
        <x:v>0</x:v>
      </x:c>
      <x:c r="D287" s="26" t="n">
        <x:v>0</x:v>
      </x:c>
      <x:c r="E287" s="24" t="n">
        <x:f>B287-C287</x:f>
        <x:v>70</x:v>
      </x:c>
      <x:c r="F287" s="25" t="n">
        <x:f>C287/B287</x:f>
        <x:v>0</x:v>
      </x:c>
      <x:c r="G287" s="23" t="str">
        <x:f>IF(B287&gt;$B$5,"Yes","No")</x:f>
        <x:v>Yes</x:v>
      </x:c>
      <x:c r="H287" s="23" t="str">
        <x:f>IF(F287&gt;$B$4,"Yes","No")</x:f>
        <x:v>No</x:v>
      </x:c>
      <x:c r="I287" s="23" t="str">
        <x:f>IF(AND(G287="Yes",H287="Yes"),"Top-right","Other")</x:f>
        <x:v>Other</x:v>
      </x:c>
    </x:row>
    <x:row r="288">
      <x:c r="A288" s="23" t="str">
        <x:v>Bins, Balistreri and Beatty</x:v>
      </x:c>
      <x:c r="B288" s="24" t="n">
        <x:v>70</x:v>
      </x:c>
      <x:c r="C288" s="24" t="n">
        <x:v>2</x:v>
      </x:c>
      <x:c r="D288" s="26" t="n">
        <x:v>2182.56</x:v>
      </x:c>
      <x:c r="E288" s="24" t="n">
        <x:f>B288-C288</x:f>
        <x:v>68</x:v>
      </x:c>
      <x:c r="F288" s="25" t="n">
        <x:f>C288/B288</x:f>
        <x:v>0.02857142857142857</x:v>
      </x:c>
      <x:c r="G288" s="23" t="str">
        <x:f>IF(B288&gt;$B$5,"Yes","No")</x:f>
        <x:v>Yes</x:v>
      </x:c>
      <x:c r="H288" s="23" t="str">
        <x:f>IF(F288&gt;$B$4,"Yes","No")</x:f>
        <x:v>Yes</x:v>
      </x:c>
      <x:c r="I288" s="23" t="str">
        <x:f>IF(AND(G288="Yes",H288="Yes"),"Top-right","Other")</x:f>
        <x:v>Top-right</x:v>
      </x:c>
    </x:row>
    <x:row r="289">
      <x:c r="A289" s="23" t="str">
        <x:v>Breitenberg-Hermiston</x:v>
      </x:c>
      <x:c r="B289" s="24" t="n">
        <x:v>70</x:v>
      </x:c>
      <x:c r="C289" s="24" t="n">
        <x:v>1</x:v>
      </x:c>
      <x:c r="D289" s="26" t="n">
        <x:v>5.9</x:v>
      </x:c>
      <x:c r="E289" s="24" t="n">
        <x:f>B289-C289</x:f>
        <x:v>69</x:v>
      </x:c>
      <x:c r="F289" s="25" t="n">
        <x:f>C289/B289</x:f>
        <x:v>0.014285714285714285</x:v>
      </x:c>
      <x:c r="G289" s="23" t="str">
        <x:f>IF(B289&gt;$B$5,"Yes","No")</x:f>
        <x:v>Yes</x:v>
      </x:c>
      <x:c r="H289" s="23" t="str">
        <x:f>IF(F289&gt;$B$4,"Yes","No")</x:f>
        <x:v>Yes</x:v>
      </x:c>
      <x:c r="I289" s="23" t="str">
        <x:f>IF(AND(G289="Yes",H289="Yes"),"Top-right","Other")</x:f>
        <x:v>Top-right</x:v>
      </x:c>
    </x:row>
    <x:row r="290">
      <x:c r="A290" s="23" t="str">
        <x:v>Daugherty, Pouros and Beahan</x:v>
      </x:c>
      <x:c r="B290" s="24" t="n">
        <x:v>70</x:v>
      </x:c>
      <x:c r="C290" s="24" t="n">
        <x:v>0</x:v>
      </x:c>
      <x:c r="D290" s="26" t="n">
        <x:v>0</x:v>
      </x:c>
      <x:c r="E290" s="24" t="n">
        <x:f>B290-C290</x:f>
        <x:v>70</x:v>
      </x:c>
      <x:c r="F290" s="25" t="n">
        <x:f>C290/B290</x:f>
        <x:v>0</x:v>
      </x:c>
      <x:c r="G290" s="23" t="str">
        <x:f>IF(B290&gt;$B$5,"Yes","No")</x:f>
        <x:v>Yes</x:v>
      </x:c>
      <x:c r="H290" s="23" t="str">
        <x:f>IF(F290&gt;$B$4,"Yes","No")</x:f>
        <x:v>No</x:v>
      </x:c>
      <x:c r="I290" s="23" t="str">
        <x:f>IF(AND(G290="Yes",H290="Yes"),"Top-right","Other")</x:f>
        <x:v>Other</x:v>
      </x:c>
    </x:row>
    <x:row r="291">
      <x:c r="A291" s="23" t="str">
        <x:v>Grimes LLC</x:v>
      </x:c>
      <x:c r="B291" s="24" t="n">
        <x:v>70</x:v>
      </x:c>
      <x:c r="C291" s="24" t="n">
        <x:v>0</x:v>
      </x:c>
      <x:c r="D291" s="26" t="n">
        <x:v>0</x:v>
      </x:c>
      <x:c r="E291" s="24" t="n">
        <x:f>B291-C291</x:f>
        <x:v>70</x:v>
      </x:c>
      <x:c r="F291" s="25" t="n">
        <x:f>C291/B291</x:f>
        <x:v>0</x:v>
      </x:c>
      <x:c r="G291" s="23" t="str">
        <x:f>IF(B291&gt;$B$5,"Yes","No")</x:f>
        <x:v>Yes</x:v>
      </x:c>
      <x:c r="H291" s="23" t="str">
        <x:f>IF(F291&gt;$B$4,"Yes","No")</x:f>
        <x:v>No</x:v>
      </x:c>
      <x:c r="I291" s="23" t="str">
        <x:f>IF(AND(G291="Yes",H291="Yes"),"Top-right","Other")</x:f>
        <x:v>Other</x:v>
      </x:c>
    </x:row>
    <x:row r="292">
      <x:c r="A292" s="23" t="str">
        <x:v>Lowe, Dietrich and Erdman</x:v>
      </x:c>
      <x:c r="B292" s="24" t="n">
        <x:v>70</x:v>
      </x:c>
      <x:c r="C292" s="24" t="n">
        <x:v>0</x:v>
      </x:c>
      <x:c r="D292" s="26" t="n">
        <x:v>0</x:v>
      </x:c>
      <x:c r="E292" s="24" t="n">
        <x:f>B292-C292</x:f>
        <x:v>70</x:v>
      </x:c>
      <x:c r="F292" s="25" t="n">
        <x:f>C292/B292</x:f>
        <x:v>0</x:v>
      </x:c>
      <x:c r="G292" s="23" t="str">
        <x:f>IF(B292&gt;$B$5,"Yes","No")</x:f>
        <x:v>Yes</x:v>
      </x:c>
      <x:c r="H292" s="23" t="str">
        <x:f>IF(F292&gt;$B$4,"Yes","No")</x:f>
        <x:v>No</x:v>
      </x:c>
      <x:c r="I292" s="23" t="str">
        <x:f>IF(AND(G292="Yes",H292="Yes"),"Top-right","Other")</x:f>
        <x:v>Other</x:v>
      </x:c>
    </x:row>
    <x:row r="293">
      <x:c r="A293" s="23" t="str">
        <x:v>Lynch Ltd</x:v>
      </x:c>
      <x:c r="B293" s="24" t="n">
        <x:v>70</x:v>
      </x:c>
      <x:c r="C293" s="24" t="n">
        <x:v>0</x:v>
      </x:c>
      <x:c r="D293" s="26" t="n">
        <x:v>0</x:v>
      </x:c>
      <x:c r="E293" s="24" t="n">
        <x:f>B293-C293</x:f>
        <x:v>70</x:v>
      </x:c>
      <x:c r="F293" s="25" t="n">
        <x:f>C293/B293</x:f>
        <x:v>0</x:v>
      </x:c>
      <x:c r="G293" s="23" t="str">
        <x:f>IF(B293&gt;$B$5,"Yes","No")</x:f>
        <x:v>Yes</x:v>
      </x:c>
      <x:c r="H293" s="23" t="str">
        <x:f>IF(F293&gt;$B$4,"Yes","No")</x:f>
        <x:v>No</x:v>
      </x:c>
      <x:c r="I293" s="23" t="str">
        <x:f>IF(AND(G293="Yes",H293="Yes"),"Top-right","Other")</x:f>
        <x:v>Other</x:v>
      </x:c>
    </x:row>
    <x:row r="294">
      <x:c r="A294" s="23" t="str">
        <x:v>Medhurst Inc</x:v>
      </x:c>
      <x:c r="B294" s="24" t="n">
        <x:v>70</x:v>
      </x:c>
      <x:c r="C294" s="24" t="n">
        <x:v>0</x:v>
      </x:c>
      <x:c r="D294" s="26" t="n">
        <x:v>0</x:v>
      </x:c>
      <x:c r="E294" s="24" t="n">
        <x:f>B294-C294</x:f>
        <x:v>70</x:v>
      </x:c>
      <x:c r="F294" s="25" t="n">
        <x:f>C294/B294</x:f>
        <x:v>0</x:v>
      </x:c>
      <x:c r="G294" s="23" t="str">
        <x:f>IF(B294&gt;$B$5,"Yes","No")</x:f>
        <x:v>Yes</x:v>
      </x:c>
      <x:c r="H294" s="23" t="str">
        <x:f>IF(F294&gt;$B$4,"Yes","No")</x:f>
        <x:v>No</x:v>
      </x:c>
      <x:c r="I294" s="23" t="str">
        <x:f>IF(AND(G294="Yes",H294="Yes"),"Top-right","Other")</x:f>
        <x:v>Other</x:v>
      </x:c>
    </x:row>
    <x:row r="295">
      <x:c r="A295" s="23" t="str">
        <x:v>Pacocha-Weissnat</x:v>
      </x:c>
      <x:c r="B295" s="24" t="n">
        <x:v>70</x:v>
      </x:c>
      <x:c r="C295" s="24" t="n">
        <x:v>0</x:v>
      </x:c>
      <x:c r="D295" s="26" t="n">
        <x:v>0</x:v>
      </x:c>
      <x:c r="E295" s="24" t="n">
        <x:f>B295-C295</x:f>
        <x:v>70</x:v>
      </x:c>
      <x:c r="F295" s="25" t="n">
        <x:f>C295/B295</x:f>
        <x:v>0</x:v>
      </x:c>
      <x:c r="G295" s="23" t="str">
        <x:f>IF(B295&gt;$B$5,"Yes","No")</x:f>
        <x:v>Yes</x:v>
      </x:c>
      <x:c r="H295" s="23" t="str">
        <x:f>IF(F295&gt;$B$4,"Yes","No")</x:f>
        <x:v>No</x:v>
      </x:c>
      <x:c r="I295" s="23" t="str">
        <x:f>IF(AND(G295="Yes",H295="Yes"),"Top-right","Other")</x:f>
        <x:v>Other</x:v>
      </x:c>
    </x:row>
    <x:row r="296">
      <x:c r="A296" s="23" t="str">
        <x:v>Roberts, Ryan and Smith</x:v>
      </x:c>
      <x:c r="B296" s="24" t="n">
        <x:v>70</x:v>
      </x:c>
      <x:c r="C296" s="24" t="n">
        <x:v>0</x:v>
      </x:c>
      <x:c r="D296" s="26" t="n">
        <x:v>0</x:v>
      </x:c>
      <x:c r="E296" s="24" t="n">
        <x:f>B296-C296</x:f>
        <x:v>70</x:v>
      </x:c>
      <x:c r="F296" s="25" t="n">
        <x:f>C296/B296</x:f>
        <x:v>0</x:v>
      </x:c>
      <x:c r="G296" s="23" t="str">
        <x:f>IF(B296&gt;$B$5,"Yes","No")</x:f>
        <x:v>Yes</x:v>
      </x:c>
      <x:c r="H296" s="23" t="str">
        <x:f>IF(F296&gt;$B$4,"Yes","No")</x:f>
        <x:v>No</x:v>
      </x:c>
      <x:c r="I296" s="23" t="str">
        <x:f>IF(AND(G296="Yes",H296="Yes"),"Top-right","Other")</x:f>
        <x:v>Other</x:v>
      </x:c>
    </x:row>
    <x:row r="297">
      <x:c r="A297" s="23" t="str">
        <x:v>Schimmel-Olson</x:v>
      </x:c>
      <x:c r="B297" s="24" t="n">
        <x:v>70</x:v>
      </x:c>
      <x:c r="C297" s="24" t="n">
        <x:v>0</x:v>
      </x:c>
      <x:c r="D297" s="26" t="n">
        <x:v>0</x:v>
      </x:c>
      <x:c r="E297" s="24" t="n">
        <x:f>B297-C297</x:f>
        <x:v>70</x:v>
      </x:c>
      <x:c r="F297" s="25" t="n">
        <x:f>C297/B297</x:f>
        <x:v>0</x:v>
      </x:c>
      <x:c r="G297" s="23" t="str">
        <x:f>IF(B297&gt;$B$5,"Yes","No")</x:f>
        <x:v>Yes</x:v>
      </x:c>
      <x:c r="H297" s="23" t="str">
        <x:f>IF(F297&gt;$B$4,"Yes","No")</x:f>
        <x:v>No</x:v>
      </x:c>
      <x:c r="I297" s="23" t="str">
        <x:f>IF(AND(G297="Yes",H297="Yes"),"Top-right","Other")</x:f>
        <x:v>Other</x:v>
      </x:c>
    </x:row>
    <x:row r="298">
      <x:c r="A298" s="23" t="str">
        <x:v>Turcotte-Halvorson</x:v>
      </x:c>
      <x:c r="B298" s="24" t="n">
        <x:v>70</x:v>
      </x:c>
      <x:c r="C298" s="24" t="n">
        <x:v>0</x:v>
      </x:c>
      <x:c r="D298" s="26" t="n">
        <x:v>0</x:v>
      </x:c>
      <x:c r="E298" s="24" t="n">
        <x:f>B298-C298</x:f>
        <x:v>70</x:v>
      </x:c>
      <x:c r="F298" s="25" t="n">
        <x:f>C298/B298</x:f>
        <x:v>0</x:v>
      </x:c>
      <x:c r="G298" s="23" t="str">
        <x:f>IF(B298&gt;$B$5,"Yes","No")</x:f>
        <x:v>Yes</x:v>
      </x:c>
      <x:c r="H298" s="23" t="str">
        <x:f>IF(F298&gt;$B$4,"Yes","No")</x:f>
        <x:v>No</x:v>
      </x:c>
      <x:c r="I298" s="23" t="str">
        <x:f>IF(AND(G298="Yes",H298="Yes"),"Top-right","Other")</x:f>
        <x:v>Other</x:v>
      </x:c>
    </x:row>
    <x:row r="299">
      <x:c r="A299" s="23" t="str">
        <x:v>Walter, Hettinger and Kessler</x:v>
      </x:c>
      <x:c r="B299" s="24" t="n">
        <x:v>70</x:v>
      </x:c>
      <x:c r="C299" s="24" t="n">
        <x:v>0</x:v>
      </x:c>
      <x:c r="D299" s="26" t="n">
        <x:v>0</x:v>
      </x:c>
      <x:c r="E299" s="24" t="n">
        <x:f>B299-C299</x:f>
        <x:v>70</x:v>
      </x:c>
      <x:c r="F299" s="25" t="n">
        <x:f>C299/B299</x:f>
        <x:v>0</x:v>
      </x:c>
      <x:c r="G299" s="23" t="str">
        <x:f>IF(B299&gt;$B$5,"Yes","No")</x:f>
        <x:v>Yes</x:v>
      </x:c>
      <x:c r="H299" s="23" t="str">
        <x:f>IF(F299&gt;$B$4,"Yes","No")</x:f>
        <x:v>No</x:v>
      </x:c>
      <x:c r="I299" s="23" t="str">
        <x:f>IF(AND(G299="Yes",H299="Yes"),"Top-right","Other")</x:f>
        <x:v>Other</x:v>
      </x:c>
    </x:row>
    <x:row r="300">
      <x:c r="A300" s="23" t="str">
        <x:v>Bashirian Group</x:v>
      </x:c>
      <x:c r="B300" s="24" t="n">
        <x:v>71</x:v>
      </x:c>
      <x:c r="C300" s="24" t="n">
        <x:v>2</x:v>
      </x:c>
      <x:c r="D300" s="26" t="n">
        <x:v>2191.6</x:v>
      </x:c>
      <x:c r="E300" s="24" t="n">
        <x:f>B300-C300</x:f>
        <x:v>69</x:v>
      </x:c>
      <x:c r="F300" s="25" t="n">
        <x:f>C300/B300</x:f>
        <x:v>0.028169014084507043</x:v>
      </x:c>
      <x:c r="G300" s="23" t="str">
        <x:f>IF(B300&gt;$B$5,"Yes","No")</x:f>
        <x:v>Yes</x:v>
      </x:c>
      <x:c r="H300" s="23" t="str">
        <x:f>IF(F300&gt;$B$4,"Yes","No")</x:f>
        <x:v>Yes</x:v>
      </x:c>
      <x:c r="I300" s="23" t="str">
        <x:f>IF(AND(G300="Yes",H300="Yes"),"Top-right","Other")</x:f>
        <x:v>Top-right</x:v>
      </x:c>
    </x:row>
    <x:row r="301">
      <x:c r="A301" s="23" t="str">
        <x:v>Connelly-Carter</x:v>
      </x:c>
      <x:c r="B301" s="24" t="n">
        <x:v>71</x:v>
      </x:c>
      <x:c r="C301" s="24" t="n">
        <x:v>0</x:v>
      </x:c>
      <x:c r="D301" s="26" t="n">
        <x:v>0</x:v>
      </x:c>
      <x:c r="E301" s="24" t="n">
        <x:f>B301-C301</x:f>
        <x:v>71</x:v>
      </x:c>
      <x:c r="F301" s="25" t="n">
        <x:f>C301/B301</x:f>
        <x:v>0</x:v>
      </x:c>
      <x:c r="G301" s="23" t="str">
        <x:f>IF(B301&gt;$B$5,"Yes","No")</x:f>
        <x:v>Yes</x:v>
      </x:c>
      <x:c r="H301" s="23" t="str">
        <x:f>IF(F301&gt;$B$4,"Yes","No")</x:f>
        <x:v>No</x:v>
      </x:c>
      <x:c r="I301" s="23" t="str">
        <x:f>IF(AND(G301="Yes",H301="Yes"),"Top-right","Other")</x:f>
        <x:v>Other</x:v>
      </x:c>
    </x:row>
    <x:row r="302">
      <x:c r="A302" s="23" t="str">
        <x:v>Fisher-Schowalter</x:v>
      </x:c>
      <x:c r="B302" s="24" t="n">
        <x:v>71</x:v>
      </x:c>
      <x:c r="C302" s="24" t="n">
        <x:v>0</x:v>
      </x:c>
      <x:c r="D302" s="26" t="n">
        <x:v>0</x:v>
      </x:c>
      <x:c r="E302" s="24" t="n">
        <x:f>B302-C302</x:f>
        <x:v>71</x:v>
      </x:c>
      <x:c r="F302" s="25" t="n">
        <x:f>C302/B302</x:f>
        <x:v>0</x:v>
      </x:c>
      <x:c r="G302" s="23" t="str">
        <x:f>IF(B302&gt;$B$5,"Yes","No")</x:f>
        <x:v>Yes</x:v>
      </x:c>
      <x:c r="H302" s="23" t="str">
        <x:f>IF(F302&gt;$B$4,"Yes","No")</x:f>
        <x:v>No</x:v>
      </x:c>
      <x:c r="I302" s="23" t="str">
        <x:f>IF(AND(G302="Yes",H302="Yes"),"Top-right","Other")</x:f>
        <x:v>Other</x:v>
      </x:c>
    </x:row>
    <x:row r="303">
      <x:c r="A303" s="23" t="str">
        <x:v>Gleason-Macejkovic</x:v>
      </x:c>
      <x:c r="B303" s="24" t="n">
        <x:v>71</x:v>
      </x:c>
      <x:c r="C303" s="24" t="n">
        <x:v>2</x:v>
      </x:c>
      <x:c r="D303" s="26" t="n">
        <x:v>2185.8</x:v>
      </x:c>
      <x:c r="E303" s="24" t="n">
        <x:f>B303-C303</x:f>
        <x:v>69</x:v>
      </x:c>
      <x:c r="F303" s="25" t="n">
        <x:f>C303/B303</x:f>
        <x:v>0.028169014084507043</x:v>
      </x:c>
      <x:c r="G303" s="23" t="str">
        <x:f>IF(B303&gt;$B$5,"Yes","No")</x:f>
        <x:v>Yes</x:v>
      </x:c>
      <x:c r="H303" s="23" t="str">
        <x:f>IF(F303&gt;$B$4,"Yes","No")</x:f>
        <x:v>Yes</x:v>
      </x:c>
      <x:c r="I303" s="23" t="str">
        <x:f>IF(AND(G303="Yes",H303="Yes"),"Top-right","Other")</x:f>
        <x:v>Top-right</x:v>
      </x:c>
    </x:row>
    <x:row r="304">
      <x:c r="A304" s="23" t="str">
        <x:v>Goldner, Kovacek and Abbott</x:v>
      </x:c>
      <x:c r="B304" s="24" t="n">
        <x:v>71</x:v>
      </x:c>
      <x:c r="C304" s="24" t="n">
        <x:v>0</x:v>
      </x:c>
      <x:c r="D304" s="26" t="n">
        <x:v>0</x:v>
      </x:c>
      <x:c r="E304" s="24" t="n">
        <x:f>B304-C304</x:f>
        <x:v>71</x:v>
      </x:c>
      <x:c r="F304" s="25" t="n">
        <x:f>C304/B304</x:f>
        <x:v>0</x:v>
      </x:c>
      <x:c r="G304" s="23" t="str">
        <x:f>IF(B304&gt;$B$5,"Yes","No")</x:f>
        <x:v>Yes</x:v>
      </x:c>
      <x:c r="H304" s="23" t="str">
        <x:f>IF(F304&gt;$B$4,"Yes","No")</x:f>
        <x:v>No</x:v>
      </x:c>
      <x:c r="I304" s="23" t="str">
        <x:f>IF(AND(G304="Yes",H304="Yes"),"Top-right","Other")</x:f>
        <x:v>Other</x:v>
      </x:c>
    </x:row>
    <x:row r="305">
      <x:c r="A305" s="23" t="str">
        <x:v>Kirlin and Sons</x:v>
      </x:c>
      <x:c r="B305" s="24" t="n">
        <x:v>71</x:v>
      </x:c>
      <x:c r="C305" s="24" t="n">
        <x:v>1</x:v>
      </x:c>
      <x:c r="D305" s="26" t="n">
        <x:v>18.8</x:v>
      </x:c>
      <x:c r="E305" s="24" t="n">
        <x:f>B305-C305</x:f>
        <x:v>70</x:v>
      </x:c>
      <x:c r="F305" s="25" t="n">
        <x:f>C305/B305</x:f>
        <x:v>0.014084507042253521</x:v>
      </x:c>
      <x:c r="G305" s="23" t="str">
        <x:f>IF(B305&gt;$B$5,"Yes","No")</x:f>
        <x:v>Yes</x:v>
      </x:c>
      <x:c r="H305" s="23" t="str">
        <x:f>IF(F305&gt;$B$4,"Yes","No")</x:f>
        <x:v>Yes</x:v>
      </x:c>
      <x:c r="I305" s="23" t="str">
        <x:f>IF(AND(G305="Yes",H305="Yes"),"Top-right","Other")</x:f>
        <x:v>Top-right</x:v>
      </x:c>
    </x:row>
    <x:row r="306">
      <x:c r="A306" s="23" t="str">
        <x:v>Koepp-Witting</x:v>
      </x:c>
      <x:c r="B306" s="24" t="n">
        <x:v>71</x:v>
      </x:c>
      <x:c r="C306" s="24" t="n">
        <x:v>0</x:v>
      </x:c>
      <x:c r="D306" s="26" t="n">
        <x:v>0</x:v>
      </x:c>
      <x:c r="E306" s="24" t="n">
        <x:f>B306-C306</x:f>
        <x:v>71</x:v>
      </x:c>
      <x:c r="F306" s="25" t="n">
        <x:f>C306/B306</x:f>
        <x:v>0</x:v>
      </x:c>
      <x:c r="G306" s="23" t="str">
        <x:f>IF(B306&gt;$B$5,"Yes","No")</x:f>
        <x:v>Yes</x:v>
      </x:c>
      <x:c r="H306" s="23" t="str">
        <x:f>IF(F306&gt;$B$4,"Yes","No")</x:f>
        <x:v>No</x:v>
      </x:c>
      <x:c r="I306" s="23" t="str">
        <x:f>IF(AND(G306="Yes",H306="Yes"),"Top-right","Other")</x:f>
        <x:v>Other</x:v>
      </x:c>
    </x:row>
    <x:row r="307">
      <x:c r="A307" s="23" t="str">
        <x:v>Larkin Ltd</x:v>
      </x:c>
      <x:c r="B307" s="24" t="n">
        <x:v>71</x:v>
      </x:c>
      <x:c r="C307" s="24" t="n">
        <x:v>0</x:v>
      </x:c>
      <x:c r="D307" s="26" t="n">
        <x:v>0</x:v>
      </x:c>
      <x:c r="E307" s="24" t="n">
        <x:f>B307-C307</x:f>
        <x:v>71</x:v>
      </x:c>
      <x:c r="F307" s="25" t="n">
        <x:f>C307/B307</x:f>
        <x:v>0</x:v>
      </x:c>
      <x:c r="G307" s="23" t="str">
        <x:f>IF(B307&gt;$B$5,"Yes","No")</x:f>
        <x:v>Yes</x:v>
      </x:c>
      <x:c r="H307" s="23" t="str">
        <x:f>IF(F307&gt;$B$4,"Yes","No")</x:f>
        <x:v>No</x:v>
      </x:c>
      <x:c r="I307" s="23" t="str">
        <x:f>IF(AND(G307="Yes",H307="Yes"),"Top-right","Other")</x:f>
        <x:v>Other</x:v>
      </x:c>
    </x:row>
    <x:row r="308">
      <x:c r="A308" s="23" t="str">
        <x:v>Little, Gutmann and Lynch</x:v>
      </x:c>
      <x:c r="B308" s="24" t="n">
        <x:v>71</x:v>
      </x:c>
      <x:c r="C308" s="24" t="n">
        <x:v>2</x:v>
      </x:c>
      <x:c r="D308" s="26" t="n">
        <x:v>1916.74</x:v>
      </x:c>
      <x:c r="E308" s="24" t="n">
        <x:f>B308-C308</x:f>
        <x:v>69</x:v>
      </x:c>
      <x:c r="F308" s="25" t="n">
        <x:f>C308/B308</x:f>
        <x:v>0.028169014084507043</x:v>
      </x:c>
      <x:c r="G308" s="23" t="str">
        <x:f>IF(B308&gt;$B$5,"Yes","No")</x:f>
        <x:v>Yes</x:v>
      </x:c>
      <x:c r="H308" s="23" t="str">
        <x:f>IF(F308&gt;$B$4,"Yes","No")</x:f>
        <x:v>Yes</x:v>
      </x:c>
      <x:c r="I308" s="23" t="str">
        <x:f>IF(AND(G308="Yes",H308="Yes"),"Top-right","Other")</x:f>
        <x:v>Top-right</x:v>
      </x:c>
    </x:row>
    <x:row r="309">
      <x:c r="A309" s="23" t="str">
        <x:v>Nitzsche, Kessler and Wolff</x:v>
      </x:c>
      <x:c r="B309" s="24" t="n">
        <x:v>71</x:v>
      </x:c>
      <x:c r="C309" s="24" t="n">
        <x:v>1</x:v>
      </x:c>
      <x:c r="D309" s="26" t="n">
        <x:v>819.42</x:v>
      </x:c>
      <x:c r="E309" s="24" t="n">
        <x:f>B309-C309</x:f>
        <x:v>70</x:v>
      </x:c>
      <x:c r="F309" s="25" t="n">
        <x:f>C309/B309</x:f>
        <x:v>0.014084507042253521</x:v>
      </x:c>
      <x:c r="G309" s="23" t="str">
        <x:f>IF(B309&gt;$B$5,"Yes","No")</x:f>
        <x:v>Yes</x:v>
      </x:c>
      <x:c r="H309" s="23" t="str">
        <x:f>IF(F309&gt;$B$4,"Yes","No")</x:f>
        <x:v>Yes</x:v>
      </x:c>
      <x:c r="I309" s="23" t="str">
        <x:f>IF(AND(G309="Yes",H309="Yes"),"Top-right","Other")</x:f>
        <x:v>Top-right</x:v>
      </x:c>
    </x:row>
    <x:row r="310">
      <x:c r="A310" s="23" t="str">
        <x:v>Romaguera, Wehner and Tromp</x:v>
      </x:c>
      <x:c r="B310" s="24" t="n">
        <x:v>71</x:v>
      </x:c>
      <x:c r="C310" s="24" t="n">
        <x:v>0</x:v>
      </x:c>
      <x:c r="D310" s="26" t="n">
        <x:v>0</x:v>
      </x:c>
      <x:c r="E310" s="24" t="n">
        <x:f>B310-C310</x:f>
        <x:v>71</x:v>
      </x:c>
      <x:c r="F310" s="25" t="n">
        <x:f>C310/B310</x:f>
        <x:v>0</x:v>
      </x:c>
      <x:c r="G310" s="23" t="str">
        <x:f>IF(B310&gt;$B$5,"Yes","No")</x:f>
        <x:v>Yes</x:v>
      </x:c>
      <x:c r="H310" s="23" t="str">
        <x:f>IF(F310&gt;$B$4,"Yes","No")</x:f>
        <x:v>No</x:v>
      </x:c>
      <x:c r="I310" s="23" t="str">
        <x:f>IF(AND(G310="Yes",H310="Yes"),"Top-right","Other")</x:f>
        <x:v>Other</x:v>
      </x:c>
    </x:row>
    <x:row r="311">
      <x:c r="A311" s="23" t="str">
        <x:v>Rutherford-Mertz</x:v>
      </x:c>
      <x:c r="B311" s="24" t="n">
        <x:v>71</x:v>
      </x:c>
      <x:c r="C311" s="24" t="n">
        <x:v>1</x:v>
      </x:c>
      <x:c r="D311" s="26" t="n">
        <x:v>339.79</x:v>
      </x:c>
      <x:c r="E311" s="24" t="n">
        <x:f>B311-C311</x:f>
        <x:v>70</x:v>
      </x:c>
      <x:c r="F311" s="25" t="n">
        <x:f>C311/B311</x:f>
        <x:v>0.014084507042253521</x:v>
      </x:c>
      <x:c r="G311" s="23" t="str">
        <x:f>IF(B311&gt;$B$5,"Yes","No")</x:f>
        <x:v>Yes</x:v>
      </x:c>
      <x:c r="H311" s="23" t="str">
        <x:f>IF(F311&gt;$B$4,"Yes","No")</x:f>
        <x:v>Yes</x:v>
      </x:c>
      <x:c r="I311" s="23" t="str">
        <x:f>IF(AND(G311="Yes",H311="Yes"),"Top-right","Other")</x:f>
        <x:v>Top-right</x:v>
      </x:c>
    </x:row>
    <x:row r="312">
      <x:c r="A312" s="23" t="str">
        <x:v>Schmidt and Sons</x:v>
      </x:c>
      <x:c r="B312" s="24" t="n">
        <x:v>71</x:v>
      </x:c>
      <x:c r="C312" s="24" t="n">
        <x:v>2</x:v>
      </x:c>
      <x:c r="D312" s="26" t="n">
        <x:v>2246.8</x:v>
      </x:c>
      <x:c r="E312" s="24" t="n">
        <x:f>B312-C312</x:f>
        <x:v>69</x:v>
      </x:c>
      <x:c r="F312" s="25" t="n">
        <x:f>C312/B312</x:f>
        <x:v>0.028169014084507043</x:v>
      </x:c>
      <x:c r="G312" s="23" t="str">
        <x:f>IF(B312&gt;$B$5,"Yes","No")</x:f>
        <x:v>Yes</x:v>
      </x:c>
      <x:c r="H312" s="23" t="str">
        <x:f>IF(F312&gt;$B$4,"Yes","No")</x:f>
        <x:v>Yes</x:v>
      </x:c>
      <x:c r="I312" s="23" t="str">
        <x:f>IF(AND(G312="Yes",H312="Yes"),"Top-right","Other")</x:f>
        <x:v>Top-right</x:v>
      </x:c>
    </x:row>
    <x:row r="313">
      <x:c r="A313" s="23" t="str">
        <x:v>Stark-Batz</x:v>
      </x:c>
      <x:c r="B313" s="24" t="n">
        <x:v>71</x:v>
      </x:c>
      <x:c r="C313" s="24" t="n">
        <x:v>1</x:v>
      </x:c>
      <x:c r="D313" s="26" t="n">
        <x:v>623.87</x:v>
      </x:c>
      <x:c r="E313" s="24" t="n">
        <x:f>B313-C313</x:f>
        <x:v>70</x:v>
      </x:c>
      <x:c r="F313" s="25" t="n">
        <x:f>C313/B313</x:f>
        <x:v>0.014084507042253521</x:v>
      </x:c>
      <x:c r="G313" s="23" t="str">
        <x:f>IF(B313&gt;$B$5,"Yes","No")</x:f>
        <x:v>Yes</x:v>
      </x:c>
      <x:c r="H313" s="23" t="str">
        <x:f>IF(F313&gt;$B$4,"Yes","No")</x:f>
        <x:v>Yes</x:v>
      </x:c>
      <x:c r="I313" s="23" t="str">
        <x:f>IF(AND(G313="Yes",H313="Yes"),"Top-right","Other")</x:f>
        <x:v>Top-right</x:v>
      </x:c>
    </x:row>
    <x:row r="314">
      <x:c r="A314" s="23" t="str">
        <x:v>Streich, Rolfson and Wilderman</x:v>
      </x:c>
      <x:c r="B314" s="24" t="n">
        <x:v>71</x:v>
      </x:c>
      <x:c r="C314" s="24" t="n">
        <x:v>0</x:v>
      </x:c>
      <x:c r="D314" s="26" t="n">
        <x:v>0</x:v>
      </x:c>
      <x:c r="E314" s="24" t="n">
        <x:f>B314-C314</x:f>
        <x:v>71</x:v>
      </x:c>
      <x:c r="F314" s="25" t="n">
        <x:f>C314/B314</x:f>
        <x:v>0</x:v>
      </x:c>
      <x:c r="G314" s="23" t="str">
        <x:f>IF(B314&gt;$B$5,"Yes","No")</x:f>
        <x:v>Yes</x:v>
      </x:c>
      <x:c r="H314" s="23" t="str">
        <x:f>IF(F314&gt;$B$4,"Yes","No")</x:f>
        <x:v>No</x:v>
      </x:c>
      <x:c r="I314" s="23" t="str">
        <x:f>IF(AND(G314="Yes",H314="Yes"),"Top-right","Other")</x:f>
        <x:v>Other</x:v>
      </x:c>
    </x:row>
    <x:row r="315">
      <x:c r="A315" s="23" t="str">
        <x:v>Torphy-Goyette</x:v>
      </x:c>
      <x:c r="B315" s="24" t="n">
        <x:v>71</x:v>
      </x:c>
      <x:c r="C315" s="24" t="n">
        <x:v>0</x:v>
      </x:c>
      <x:c r="D315" s="26" t="n">
        <x:v>0</x:v>
      </x:c>
      <x:c r="E315" s="24" t="n">
        <x:f>B315-C315</x:f>
        <x:v>71</x:v>
      </x:c>
      <x:c r="F315" s="25" t="n">
        <x:f>C315/B315</x:f>
        <x:v>0</x:v>
      </x:c>
      <x:c r="G315" s="23" t="str">
        <x:f>IF(B315&gt;$B$5,"Yes","No")</x:f>
        <x:v>Yes</x:v>
      </x:c>
      <x:c r="H315" s="23" t="str">
        <x:f>IF(F315&gt;$B$4,"Yes","No")</x:f>
        <x:v>No</x:v>
      </x:c>
      <x:c r="I315" s="23" t="str">
        <x:f>IF(AND(G315="Yes",H315="Yes"),"Top-right","Other")</x:f>
        <x:v>Other</x:v>
      </x:c>
    </x:row>
    <x:row r="316">
      <x:c r="A316" s="23" t="str">
        <x:v>Towne, Greenholt and Koepp</x:v>
      </x:c>
      <x:c r="B316" s="24" t="n">
        <x:v>71</x:v>
      </x:c>
      <x:c r="C316" s="24" t="n">
        <x:v>1</x:v>
      </x:c>
      <x:c r="D316" s="26" t="n">
        <x:v>883.36</x:v>
      </x:c>
      <x:c r="E316" s="24" t="n">
        <x:f>B316-C316</x:f>
        <x:v>70</x:v>
      </x:c>
      <x:c r="F316" s="25" t="n">
        <x:f>C316/B316</x:f>
        <x:v>0.014084507042253521</x:v>
      </x:c>
      <x:c r="G316" s="23" t="str">
        <x:f>IF(B316&gt;$B$5,"Yes","No")</x:f>
        <x:v>Yes</x:v>
      </x:c>
      <x:c r="H316" s="23" t="str">
        <x:f>IF(F316&gt;$B$4,"Yes","No")</x:f>
        <x:v>Yes</x:v>
      </x:c>
      <x:c r="I316" s="23" t="str">
        <x:f>IF(AND(G316="Yes",H316="Yes"),"Top-right","Other")</x:f>
        <x:v>Top-right</x:v>
      </x:c>
    </x:row>
    <x:row r="317">
      <x:c r="A317" s="23" t="str">
        <x:v>Windler LLC</x:v>
      </x:c>
      <x:c r="B317" s="24" t="n">
        <x:v>71</x:v>
      </x:c>
      <x:c r="C317" s="24" t="n">
        <x:v>0</x:v>
      </x:c>
      <x:c r="D317" s="26" t="n">
        <x:v>0</x:v>
      </x:c>
      <x:c r="E317" s="24" t="n">
        <x:f>B317-C317</x:f>
        <x:v>71</x:v>
      </x:c>
      <x:c r="F317" s="25" t="n">
        <x:f>C317/B317</x:f>
        <x:v>0</x:v>
      </x:c>
      <x:c r="G317" s="23" t="str">
        <x:f>IF(B317&gt;$B$5,"Yes","No")</x:f>
        <x:v>Yes</x:v>
      </x:c>
      <x:c r="H317" s="23" t="str">
        <x:f>IF(F317&gt;$B$4,"Yes","No")</x:f>
        <x:v>No</x:v>
      </x:c>
      <x:c r="I317" s="23" t="str">
        <x:f>IF(AND(G317="Yes",H317="Yes"),"Top-right","Other")</x:f>
        <x:v>Other</x:v>
      </x:c>
    </x:row>
    <x:row r="318">
      <x:c r="A318" s="23" t="str">
        <x:v>Beier and Sons</x:v>
      </x:c>
      <x:c r="B318" s="24" t="n">
        <x:v>72</x:v>
      </x:c>
      <x:c r="C318" s="24" t="n">
        <x:v>0</x:v>
      </x:c>
      <x:c r="D318" s="26" t="n">
        <x:v>0</x:v>
      </x:c>
      <x:c r="E318" s="24" t="n">
        <x:f>B318-C318</x:f>
        <x:v>72</x:v>
      </x:c>
      <x:c r="F318" s="25" t="n">
        <x:f>C318/B318</x:f>
        <x:v>0</x:v>
      </x:c>
      <x:c r="G318" s="23" t="str">
        <x:f>IF(B318&gt;$B$5,"Yes","No")</x:f>
        <x:v>Yes</x:v>
      </x:c>
      <x:c r="H318" s="23" t="str">
        <x:f>IF(F318&gt;$B$4,"Yes","No")</x:f>
        <x:v>No</x:v>
      </x:c>
      <x:c r="I318" s="23" t="str">
        <x:f>IF(AND(G318="Yes",H318="Yes"),"Top-right","Other")</x:f>
        <x:v>Other</x:v>
      </x:c>
    </x:row>
    <x:row r="319">
      <x:c r="A319" s="23" t="str">
        <x:v>Boyer-Reichert</x:v>
      </x:c>
      <x:c r="B319" s="24" t="n">
        <x:v>72</x:v>
      </x:c>
      <x:c r="C319" s="24" t="n">
        <x:v>3</x:v>
      </x:c>
      <x:c r="D319" s="26" t="n">
        <x:v>3248.3199999999997</x:v>
      </x:c>
      <x:c r="E319" s="24" t="n">
        <x:f>B319-C319</x:f>
        <x:v>69</x:v>
      </x:c>
      <x:c r="F319" s="25" t="n">
        <x:f>C319/B319</x:f>
        <x:v>0.041666666666666664</x:v>
      </x:c>
      <x:c r="G319" s="23" t="str">
        <x:f>IF(B319&gt;$B$5,"Yes","No")</x:f>
        <x:v>Yes</x:v>
      </x:c>
      <x:c r="H319" s="23" t="str">
        <x:f>IF(F319&gt;$B$4,"Yes","No")</x:f>
        <x:v>Yes</x:v>
      </x:c>
      <x:c r="I319" s="23" t="str">
        <x:f>IF(AND(G319="Yes",H319="Yes"),"Top-right","Other")</x:f>
        <x:v>Top-right</x:v>
      </x:c>
    </x:row>
    <x:row r="320">
      <x:c r="A320" s="23" t="str">
        <x:v>Cartwright PLC</x:v>
      </x:c>
      <x:c r="B320" s="24" t="n">
        <x:v>72</x:v>
      </x:c>
      <x:c r="C320" s="24" t="n">
        <x:v>0</x:v>
      </x:c>
      <x:c r="D320" s="26" t="n">
        <x:v>0</x:v>
      </x:c>
      <x:c r="E320" s="24" t="n">
        <x:f>B320-C320</x:f>
        <x:v>72</x:v>
      </x:c>
      <x:c r="F320" s="25" t="n">
        <x:f>C320/B320</x:f>
        <x:v>0</x:v>
      </x:c>
      <x:c r="G320" s="23" t="str">
        <x:f>IF(B320&gt;$B$5,"Yes","No")</x:f>
        <x:v>Yes</x:v>
      </x:c>
      <x:c r="H320" s="23" t="str">
        <x:f>IF(F320&gt;$B$4,"Yes","No")</x:f>
        <x:v>No</x:v>
      </x:c>
      <x:c r="I320" s="23" t="str">
        <x:f>IF(AND(G320="Yes",H320="Yes"),"Top-right","Other")</x:f>
        <x:v>Other</x:v>
      </x:c>
    </x:row>
    <x:row r="321">
      <x:c r="A321" s="23" t="str">
        <x:v>Deckow-O'Conner</x:v>
      </x:c>
      <x:c r="B321" s="24" t="n">
        <x:v>72</x:v>
      </x:c>
      <x:c r="C321" s="24" t="n">
        <x:v>1</x:v>
      </x:c>
      <x:c r="D321" s="26" t="n">
        <x:v>303.67</x:v>
      </x:c>
      <x:c r="E321" s="24" t="n">
        <x:f>B321-C321</x:f>
        <x:v>71</x:v>
      </x:c>
      <x:c r="F321" s="25" t="n">
        <x:f>C321/B321</x:f>
        <x:v>0.013888888888888888</x:v>
      </x:c>
      <x:c r="G321" s="23" t="str">
        <x:f>IF(B321&gt;$B$5,"Yes","No")</x:f>
        <x:v>Yes</x:v>
      </x:c>
      <x:c r="H321" s="23" t="str">
        <x:f>IF(F321&gt;$B$4,"Yes","No")</x:f>
        <x:v>Yes</x:v>
      </x:c>
      <x:c r="I321" s="23" t="str">
        <x:f>IF(AND(G321="Yes",H321="Yes"),"Top-right","Other")</x:f>
        <x:v>Top-right</x:v>
      </x:c>
    </x:row>
    <x:row r="322">
      <x:c r="A322" s="23" t="str">
        <x:v>Dibbert and Sons</x:v>
      </x:c>
      <x:c r="B322" s="24" t="n">
        <x:v>72</x:v>
      </x:c>
      <x:c r="C322" s="24" t="n">
        <x:v>0</x:v>
      </x:c>
      <x:c r="D322" s="26" t="n">
        <x:v>0</x:v>
      </x:c>
      <x:c r="E322" s="24" t="n">
        <x:f>B322-C322</x:f>
        <x:v>72</x:v>
      </x:c>
      <x:c r="F322" s="25" t="n">
        <x:f>C322/B322</x:f>
        <x:v>0</x:v>
      </x:c>
      <x:c r="G322" s="23" t="str">
        <x:f>IF(B322&gt;$B$5,"Yes","No")</x:f>
        <x:v>Yes</x:v>
      </x:c>
      <x:c r="H322" s="23" t="str">
        <x:f>IF(F322&gt;$B$4,"Yes","No")</x:f>
        <x:v>No</x:v>
      </x:c>
      <x:c r="I322" s="23" t="str">
        <x:f>IF(AND(G322="Yes",H322="Yes"),"Top-right","Other")</x:f>
        <x:v>Other</x:v>
      </x:c>
    </x:row>
    <x:row r="323">
      <x:c r="A323" s="23" t="str">
        <x:v>Fahey Inc</x:v>
      </x:c>
      <x:c r="B323" s="24" t="n">
        <x:v>72</x:v>
      </x:c>
      <x:c r="C323" s="24" t="n">
        <x:v>1</x:v>
      </x:c>
      <x:c r="D323" s="26" t="n">
        <x:v>6.51</x:v>
      </x:c>
      <x:c r="E323" s="24" t="n">
        <x:f>B323-C323</x:f>
        <x:v>71</x:v>
      </x:c>
      <x:c r="F323" s="25" t="n">
        <x:f>C323/B323</x:f>
        <x:v>0.013888888888888888</x:v>
      </x:c>
      <x:c r="G323" s="23" t="str">
        <x:f>IF(B323&gt;$B$5,"Yes","No")</x:f>
        <x:v>Yes</x:v>
      </x:c>
      <x:c r="H323" s="23" t="str">
        <x:f>IF(F323&gt;$B$4,"Yes","No")</x:f>
        <x:v>Yes</x:v>
      </x:c>
      <x:c r="I323" s="23" t="str">
        <x:f>IF(AND(G323="Yes",H323="Yes"),"Top-right","Other")</x:f>
        <x:v>Top-right</x:v>
      </x:c>
    </x:row>
    <x:row r="324">
      <x:c r="A324" s="23" t="str">
        <x:v>Friesen Inc</x:v>
      </x:c>
      <x:c r="B324" s="24" t="n">
        <x:v>72</x:v>
      </x:c>
      <x:c r="C324" s="24" t="n">
        <x:v>0</x:v>
      </x:c>
      <x:c r="D324" s="26" t="n">
        <x:v>0</x:v>
      </x:c>
      <x:c r="E324" s="24" t="n">
        <x:f>B324-C324</x:f>
        <x:v>72</x:v>
      </x:c>
      <x:c r="F324" s="25" t="n">
        <x:f>C324/B324</x:f>
        <x:v>0</x:v>
      </x:c>
      <x:c r="G324" s="23" t="str">
        <x:f>IF(B324&gt;$B$5,"Yes","No")</x:f>
        <x:v>Yes</x:v>
      </x:c>
      <x:c r="H324" s="23" t="str">
        <x:f>IF(F324&gt;$B$4,"Yes","No")</x:f>
        <x:v>No</x:v>
      </x:c>
      <x:c r="I324" s="23" t="str">
        <x:f>IF(AND(G324="Yes",H324="Yes"),"Top-right","Other")</x:f>
        <x:v>Other</x:v>
      </x:c>
    </x:row>
    <x:row r="325">
      <x:c r="A325" s="23" t="str">
        <x:v>Kihn Inc</x:v>
      </x:c>
      <x:c r="B325" s="24" t="n">
        <x:v>72</x:v>
      </x:c>
      <x:c r="C325" s="24" t="n">
        <x:v>1</x:v>
      </x:c>
      <x:c r="D325" s="26" t="n">
        <x:v>834.59</x:v>
      </x:c>
      <x:c r="E325" s="24" t="n">
        <x:f>B325-C325</x:f>
        <x:v>71</x:v>
      </x:c>
      <x:c r="F325" s="25" t="n">
        <x:f>C325/B325</x:f>
        <x:v>0.013888888888888888</x:v>
      </x:c>
      <x:c r="G325" s="23" t="str">
        <x:f>IF(B325&gt;$B$5,"Yes","No")</x:f>
        <x:v>Yes</x:v>
      </x:c>
      <x:c r="H325" s="23" t="str">
        <x:f>IF(F325&gt;$B$4,"Yes","No")</x:f>
        <x:v>Yes</x:v>
      </x:c>
      <x:c r="I325" s="23" t="str">
        <x:f>IF(AND(G325="Yes",H325="Yes"),"Top-right","Other")</x:f>
        <x:v>Top-right</x:v>
      </x:c>
    </x:row>
    <x:row r="326">
      <x:c r="A326" s="23" t="str">
        <x:v>Little Ltd</x:v>
      </x:c>
      <x:c r="B326" s="24" t="n">
        <x:v>72</x:v>
      </x:c>
      <x:c r="C326" s="24" t="n">
        <x:v>0</x:v>
      </x:c>
      <x:c r="D326" s="26" t="n">
        <x:v>0</x:v>
      </x:c>
      <x:c r="E326" s="24" t="n">
        <x:f>B326-C326</x:f>
        <x:v>72</x:v>
      </x:c>
      <x:c r="F326" s="25" t="n">
        <x:f>C326/B326</x:f>
        <x:v>0</x:v>
      </x:c>
      <x:c r="G326" s="23" t="str">
        <x:f>IF(B326&gt;$B$5,"Yes","No")</x:f>
        <x:v>Yes</x:v>
      </x:c>
      <x:c r="H326" s="23" t="str">
        <x:f>IF(F326&gt;$B$4,"Yes","No")</x:f>
        <x:v>No</x:v>
      </x:c>
      <x:c r="I326" s="23" t="str">
        <x:f>IF(AND(G326="Yes",H326="Yes"),"Top-right","Other")</x:f>
        <x:v>Other</x:v>
      </x:c>
    </x:row>
    <x:row r="327">
      <x:c r="A327" s="23" t="str">
        <x:v>Morissette-Schaefer</x:v>
      </x:c>
      <x:c r="B327" s="24" t="n">
        <x:v>72</x:v>
      </x:c>
      <x:c r="C327" s="24" t="n">
        <x:v>1</x:v>
      </x:c>
      <x:c r="D327" s="26" t="n">
        <x:v>19.03</x:v>
      </x:c>
      <x:c r="E327" s="24" t="n">
        <x:f>B327-C327</x:f>
        <x:v>71</x:v>
      </x:c>
      <x:c r="F327" s="25" t="n">
        <x:f>C327/B327</x:f>
        <x:v>0.013888888888888888</x:v>
      </x:c>
      <x:c r="G327" s="23" t="str">
        <x:f>IF(B327&gt;$B$5,"Yes","No")</x:f>
        <x:v>Yes</x:v>
      </x:c>
      <x:c r="H327" s="23" t="str">
        <x:f>IF(F327&gt;$B$4,"Yes","No")</x:f>
        <x:v>Yes</x:v>
      </x:c>
      <x:c r="I327" s="23" t="str">
        <x:f>IF(AND(G327="Yes",H327="Yes"),"Top-right","Other")</x:f>
        <x:v>Top-right</x:v>
      </x:c>
    </x:row>
    <x:row r="328">
      <x:c r="A328" s="23" t="str">
        <x:v>Nienow, Barrows and Romaguera</x:v>
      </x:c>
      <x:c r="B328" s="24" t="n">
        <x:v>72</x:v>
      </x:c>
      <x:c r="C328" s="24" t="n">
        <x:v>0</x:v>
      </x:c>
      <x:c r="D328" s="26" t="n">
        <x:v>0</x:v>
      </x:c>
      <x:c r="E328" s="24" t="n">
        <x:f>B328-C328</x:f>
        <x:v>72</x:v>
      </x:c>
      <x:c r="F328" s="25" t="n">
        <x:f>C328/B328</x:f>
        <x:v>0</x:v>
      </x:c>
      <x:c r="G328" s="23" t="str">
        <x:f>IF(B328&gt;$B$5,"Yes","No")</x:f>
        <x:v>Yes</x:v>
      </x:c>
      <x:c r="H328" s="23" t="str">
        <x:f>IF(F328&gt;$B$4,"Yes","No")</x:f>
        <x:v>No</x:v>
      </x:c>
      <x:c r="I328" s="23" t="str">
        <x:f>IF(AND(G328="Yes",H328="Yes"),"Top-right","Other")</x:f>
        <x:v>Other</x:v>
      </x:c>
    </x:row>
    <x:row r="329">
      <x:c r="A329" s="23" t="str">
        <x:v>Stracke-Lemke</x:v>
      </x:c>
      <x:c r="B329" s="24" t="n">
        <x:v>72</x:v>
      </x:c>
      <x:c r="C329" s="24" t="n">
        <x:v>0</x:v>
      </x:c>
      <x:c r="D329" s="26" t="n">
        <x:v>0</x:v>
      </x:c>
      <x:c r="E329" s="24" t="n">
        <x:f>B329-C329</x:f>
        <x:v>72</x:v>
      </x:c>
      <x:c r="F329" s="25" t="n">
        <x:f>C329/B329</x:f>
        <x:v>0</x:v>
      </x:c>
      <x:c r="G329" s="23" t="str">
        <x:f>IF(B329&gt;$B$5,"Yes","No")</x:f>
        <x:v>Yes</x:v>
      </x:c>
      <x:c r="H329" s="23" t="str">
        <x:f>IF(F329&gt;$B$4,"Yes","No")</x:f>
        <x:v>No</x:v>
      </x:c>
      <x:c r="I329" s="23" t="str">
        <x:f>IF(AND(G329="Yes",H329="Yes"),"Top-right","Other")</x:f>
        <x:v>Other</x:v>
      </x:c>
    </x:row>
    <x:row r="330">
      <x:c r="A330" s="23" t="str">
        <x:v>Ullrich Ltd</x:v>
      </x:c>
      <x:c r="B330" s="24" t="n">
        <x:v>72</x:v>
      </x:c>
      <x:c r="C330" s="24" t="n">
        <x:v>0</x:v>
      </x:c>
      <x:c r="D330" s="26" t="n">
        <x:v>0</x:v>
      </x:c>
      <x:c r="E330" s="24" t="n">
        <x:f>B330-C330</x:f>
        <x:v>72</x:v>
      </x:c>
      <x:c r="F330" s="25" t="n">
        <x:f>C330/B330</x:f>
        <x:v>0</x:v>
      </x:c>
      <x:c r="G330" s="23" t="str">
        <x:f>IF(B330&gt;$B$5,"Yes","No")</x:f>
        <x:v>Yes</x:v>
      </x:c>
      <x:c r="H330" s="23" t="str">
        <x:f>IF(F330&gt;$B$4,"Yes","No")</x:f>
        <x:v>No</x:v>
      </x:c>
      <x:c r="I330" s="23" t="str">
        <x:f>IF(AND(G330="Yes",H330="Yes"),"Top-right","Other")</x:f>
        <x:v>Other</x:v>
      </x:c>
    </x:row>
    <x:row r="331">
      <x:c r="A331" s="23" t="str">
        <x:v>Altenwerth, Cartwright and Koss</x:v>
      </x:c>
      <x:c r="B331" s="24" t="n">
        <x:v>73</x:v>
      </x:c>
      <x:c r="C331" s="24" t="n">
        <x:v>1</x:v>
      </x:c>
      <x:c r="D331" s="26" t="n">
        <x:v>879.05</x:v>
      </x:c>
      <x:c r="E331" s="24" t="n">
        <x:f>B331-C331</x:f>
        <x:v>72</x:v>
      </x:c>
      <x:c r="F331" s="25" t="n">
        <x:f>C331/B331</x:f>
        <x:v>0.0136986301369863</x:v>
      </x:c>
      <x:c r="G331" s="23" t="str">
        <x:f>IF(B331&gt;$B$5,"Yes","No")</x:f>
        <x:v>Yes</x:v>
      </x:c>
      <x:c r="H331" s="23" t="str">
        <x:f>IF(F331&gt;$B$4,"Yes","No")</x:f>
        <x:v>Yes</x:v>
      </x:c>
      <x:c r="I331" s="23" t="str">
        <x:f>IF(AND(G331="Yes",H331="Yes"),"Top-right","Other")</x:f>
        <x:v>Top-right</x:v>
      </x:c>
    </x:row>
    <x:row r="332">
      <x:c r="A332" s="23" t="str">
        <x:v>Auer-Mosciski</x:v>
      </x:c>
      <x:c r="B332" s="24" t="n">
        <x:v>73</x:v>
      </x:c>
      <x:c r="C332" s="24" t="n">
        <x:v>2</x:v>
      </x:c>
      <x:c r="D332" s="26" t="n">
        <x:v>551.39</x:v>
      </x:c>
      <x:c r="E332" s="24" t="n">
        <x:f>B332-C332</x:f>
        <x:v>71</x:v>
      </x:c>
      <x:c r="F332" s="25" t="n">
        <x:f>C332/B332</x:f>
        <x:v>0.0273972602739726</x:v>
      </x:c>
      <x:c r="G332" s="23" t="str">
        <x:f>IF(B332&gt;$B$5,"Yes","No")</x:f>
        <x:v>Yes</x:v>
      </x:c>
      <x:c r="H332" s="23" t="str">
        <x:f>IF(F332&gt;$B$4,"Yes","No")</x:f>
        <x:v>Yes</x:v>
      </x:c>
      <x:c r="I332" s="23" t="str">
        <x:f>IF(AND(G332="Yes",H332="Yes"),"Top-right","Other")</x:f>
        <x:v>Top-right</x:v>
      </x:c>
    </x:row>
    <x:row r="333">
      <x:c r="A333" s="23" t="str">
        <x:v>Bradtke PLC</x:v>
      </x:c>
      <x:c r="B333" s="24" t="n">
        <x:v>73</x:v>
      </x:c>
      <x:c r="C333" s="24" t="n">
        <x:v>1</x:v>
      </x:c>
      <x:c r="D333" s="26" t="n">
        <x:v>338.7</x:v>
      </x:c>
      <x:c r="E333" s="24" t="n">
        <x:f>B333-C333</x:f>
        <x:v>72</x:v>
      </x:c>
      <x:c r="F333" s="25" t="n">
        <x:f>C333/B333</x:f>
        <x:v>0.0136986301369863</x:v>
      </x:c>
      <x:c r="G333" s="23" t="str">
        <x:f>IF(B333&gt;$B$5,"Yes","No")</x:f>
        <x:v>Yes</x:v>
      </x:c>
      <x:c r="H333" s="23" t="str">
        <x:f>IF(F333&gt;$B$4,"Yes","No")</x:f>
        <x:v>Yes</x:v>
      </x:c>
      <x:c r="I333" s="23" t="str">
        <x:f>IF(AND(G333="Yes",H333="Yes"),"Top-right","Other")</x:f>
        <x:v>Top-right</x:v>
      </x:c>
    </x:row>
    <x:row r="334">
      <x:c r="A334" s="23" t="str">
        <x:v>Kutch-Ferry</x:v>
      </x:c>
      <x:c r="B334" s="24" t="n">
        <x:v>73</x:v>
      </x:c>
      <x:c r="C334" s="24" t="n">
        <x:v>0</x:v>
      </x:c>
      <x:c r="D334" s="26" t="n">
        <x:v>0</x:v>
      </x:c>
      <x:c r="E334" s="24" t="n">
        <x:f>B334-C334</x:f>
        <x:v>73</x:v>
      </x:c>
      <x:c r="F334" s="25" t="n">
        <x:f>C334/B334</x:f>
        <x:v>0</x:v>
      </x:c>
      <x:c r="G334" s="23" t="str">
        <x:f>IF(B334&gt;$B$5,"Yes","No")</x:f>
        <x:v>Yes</x:v>
      </x:c>
      <x:c r="H334" s="23" t="str">
        <x:f>IF(F334&gt;$B$4,"Yes","No")</x:f>
        <x:v>No</x:v>
      </x:c>
      <x:c r="I334" s="23" t="str">
        <x:f>IF(AND(G334="Yes",H334="Yes"),"Top-right","Other")</x:f>
        <x:v>Other</x:v>
      </x:c>
    </x:row>
    <x:row r="335">
      <x:c r="A335" s="23" t="str">
        <x:v>Parker, Nolan and Trantow</x:v>
      </x:c>
      <x:c r="B335" s="24" t="n">
        <x:v>73</x:v>
      </x:c>
      <x:c r="C335" s="24" t="n">
        <x:v>0</x:v>
      </x:c>
      <x:c r="D335" s="26" t="n">
        <x:v>0</x:v>
      </x:c>
      <x:c r="E335" s="24" t="n">
        <x:f>B335-C335</x:f>
        <x:v>73</x:v>
      </x:c>
      <x:c r="F335" s="25" t="n">
        <x:f>C335/B335</x:f>
        <x:v>0</x:v>
      </x:c>
      <x:c r="G335" s="23" t="str">
        <x:f>IF(B335&gt;$B$5,"Yes","No")</x:f>
        <x:v>Yes</x:v>
      </x:c>
      <x:c r="H335" s="23" t="str">
        <x:f>IF(F335&gt;$B$4,"Yes","No")</x:f>
        <x:v>No</x:v>
      </x:c>
      <x:c r="I335" s="23" t="str">
        <x:f>IF(AND(G335="Yes",H335="Yes"),"Top-right","Other")</x:f>
        <x:v>Other</x:v>
      </x:c>
    </x:row>
    <x:row r="336">
      <x:c r="A336" s="23" t="str">
        <x:v>Robel, Cummerata and Prosacco</x:v>
      </x:c>
      <x:c r="B336" s="24" t="n">
        <x:v>73</x:v>
      </x:c>
      <x:c r="C336" s="24" t="n">
        <x:v>0</x:v>
      </x:c>
      <x:c r="D336" s="26" t="n">
        <x:v>0</x:v>
      </x:c>
      <x:c r="E336" s="24" t="n">
        <x:f>B336-C336</x:f>
        <x:v>73</x:v>
      </x:c>
      <x:c r="F336" s="25" t="n">
        <x:f>C336/B336</x:f>
        <x:v>0</x:v>
      </x:c>
      <x:c r="G336" s="23" t="str">
        <x:f>IF(B336&gt;$B$5,"Yes","No")</x:f>
        <x:v>Yes</x:v>
      </x:c>
      <x:c r="H336" s="23" t="str">
        <x:f>IF(F336&gt;$B$4,"Yes","No")</x:f>
        <x:v>No</x:v>
      </x:c>
      <x:c r="I336" s="23" t="str">
        <x:f>IF(AND(G336="Yes",H336="Yes"),"Top-right","Other")</x:f>
        <x:v>Other</x:v>
      </x:c>
    </x:row>
    <x:row r="337">
      <x:c r="A337" s="23" t="str">
        <x:v>Schaefer Ltd</x:v>
      </x:c>
      <x:c r="B337" s="24" t="n">
        <x:v>73</x:v>
      </x:c>
      <x:c r="C337" s="24" t="n">
        <x:v>0</x:v>
      </x:c>
      <x:c r="D337" s="26" t="n">
        <x:v>0</x:v>
      </x:c>
      <x:c r="E337" s="24" t="n">
        <x:f>B337-C337</x:f>
        <x:v>73</x:v>
      </x:c>
      <x:c r="F337" s="25" t="n">
        <x:f>C337/B337</x:f>
        <x:v>0</x:v>
      </x:c>
      <x:c r="G337" s="23" t="str">
        <x:f>IF(B337&gt;$B$5,"Yes","No")</x:f>
        <x:v>Yes</x:v>
      </x:c>
      <x:c r="H337" s="23" t="str">
        <x:f>IF(F337&gt;$B$4,"Yes","No")</x:f>
        <x:v>No</x:v>
      </x:c>
      <x:c r="I337" s="23" t="str">
        <x:f>IF(AND(G337="Yes",H337="Yes"),"Top-right","Other")</x:f>
        <x:v>Other</x:v>
      </x:c>
    </x:row>
    <x:row r="338">
      <x:c r="A338" s="23" t="str">
        <x:v>Schoen Ltd</x:v>
      </x:c>
      <x:c r="B338" s="24" t="n">
        <x:v>73</x:v>
      </x:c>
      <x:c r="C338" s="24" t="n">
        <x:v>0</x:v>
      </x:c>
      <x:c r="D338" s="26" t="n">
        <x:v>0</x:v>
      </x:c>
      <x:c r="E338" s="24" t="n">
        <x:f>B338-C338</x:f>
        <x:v>73</x:v>
      </x:c>
      <x:c r="F338" s="25" t="n">
        <x:f>C338/B338</x:f>
        <x:v>0</x:v>
      </x:c>
      <x:c r="G338" s="23" t="str">
        <x:f>IF(B338&gt;$B$5,"Yes","No")</x:f>
        <x:v>Yes</x:v>
      </x:c>
      <x:c r="H338" s="23" t="str">
        <x:f>IF(F338&gt;$B$4,"Yes","No")</x:f>
        <x:v>No</x:v>
      </x:c>
      <x:c r="I338" s="23" t="str">
        <x:f>IF(AND(G338="Yes",H338="Yes"),"Top-right","Other")</x:f>
        <x:v>Other</x:v>
      </x:c>
    </x:row>
    <x:row r="339">
      <x:c r="A339" s="23" t="str">
        <x:v>Streich Ltd</x:v>
      </x:c>
      <x:c r="B339" s="24" t="n">
        <x:v>73</x:v>
      </x:c>
      <x:c r="C339" s="24" t="n">
        <x:v>0</x:v>
      </x:c>
      <x:c r="D339" s="26" t="n">
        <x:v>0</x:v>
      </x:c>
      <x:c r="E339" s="24" t="n">
        <x:f>B339-C339</x:f>
        <x:v>73</x:v>
      </x:c>
      <x:c r="F339" s="25" t="n">
        <x:f>C339/B339</x:f>
        <x:v>0</x:v>
      </x:c>
      <x:c r="G339" s="23" t="str">
        <x:f>IF(B339&gt;$B$5,"Yes","No")</x:f>
        <x:v>Yes</x:v>
      </x:c>
      <x:c r="H339" s="23" t="str">
        <x:f>IF(F339&gt;$B$4,"Yes","No")</x:f>
        <x:v>No</x:v>
      </x:c>
      <x:c r="I339" s="23" t="str">
        <x:f>IF(AND(G339="Yes",H339="Yes"),"Top-right","Other")</x:f>
        <x:v>Other</x:v>
      </x:c>
    </x:row>
    <x:row r="340">
      <x:c r="A340" s="23" t="str">
        <x:v>Witting, Beer and Ernser</x:v>
      </x:c>
      <x:c r="B340" s="24" t="n">
        <x:v>73</x:v>
      </x:c>
      <x:c r="C340" s="24" t="n">
        <x:v>1</x:v>
      </x:c>
      <x:c r="D340" s="26" t="n">
        <x:v>226.82</x:v>
      </x:c>
      <x:c r="E340" s="24" t="n">
        <x:f>B340-C340</x:f>
        <x:v>72</x:v>
      </x:c>
      <x:c r="F340" s="25" t="n">
        <x:f>C340/B340</x:f>
        <x:v>0.0136986301369863</x:v>
      </x:c>
      <x:c r="G340" s="23" t="str">
        <x:f>IF(B340&gt;$B$5,"Yes","No")</x:f>
        <x:v>Yes</x:v>
      </x:c>
      <x:c r="H340" s="23" t="str">
        <x:f>IF(F340&gt;$B$4,"Yes","No")</x:f>
        <x:v>Yes</x:v>
      </x:c>
      <x:c r="I340" s="23" t="str">
        <x:f>IF(AND(G340="Yes",H340="Yes"),"Top-right","Other")</x:f>
        <x:v>Top-right</x:v>
      </x:c>
    </x:row>
    <x:row r="341">
      <x:c r="A341" s="23" t="str">
        <x:v>Yost, Schamberger and Windler</x:v>
      </x:c>
      <x:c r="B341" s="24" t="n">
        <x:v>73</x:v>
      </x:c>
      <x:c r="C341" s="24" t="n">
        <x:v>0</x:v>
      </x:c>
      <x:c r="D341" s="26" t="n">
        <x:v>0</x:v>
      </x:c>
      <x:c r="E341" s="24" t="n">
        <x:f>B341-C341</x:f>
        <x:v>73</x:v>
      </x:c>
      <x:c r="F341" s="25" t="n">
        <x:f>C341/B341</x:f>
        <x:v>0</x:v>
      </x:c>
      <x:c r="G341" s="23" t="str">
        <x:f>IF(B341&gt;$B$5,"Yes","No")</x:f>
        <x:v>Yes</x:v>
      </x:c>
      <x:c r="H341" s="23" t="str">
        <x:f>IF(F341&gt;$B$4,"Yes","No")</x:f>
        <x:v>No</x:v>
      </x:c>
      <x:c r="I341" s="23" t="str">
        <x:f>IF(AND(G341="Yes",H341="Yes"),"Top-right","Other")</x:f>
        <x:v>Other</x:v>
      </x:c>
    </x:row>
    <x:row r="342">
      <x:c r="A342" s="23" t="str">
        <x:v>Goyette, Howell and Collier</x:v>
      </x:c>
      <x:c r="B342" s="24" t="n">
        <x:v>74</x:v>
      </x:c>
      <x:c r="C342" s="24" t="n">
        <x:v>0</x:v>
      </x:c>
      <x:c r="D342" s="26" t="n">
        <x:v>0</x:v>
      </x:c>
      <x:c r="E342" s="24" t="n">
        <x:f>B342-C342</x:f>
        <x:v>74</x:v>
      </x:c>
      <x:c r="F342" s="25" t="n">
        <x:f>C342/B342</x:f>
        <x:v>0</x:v>
      </x:c>
      <x:c r="G342" s="23" t="str">
        <x:f>IF(B342&gt;$B$5,"Yes","No")</x:f>
        <x:v>Yes</x:v>
      </x:c>
      <x:c r="H342" s="23" t="str">
        <x:f>IF(F342&gt;$B$4,"Yes","No")</x:f>
        <x:v>No</x:v>
      </x:c>
      <x:c r="I342" s="23" t="str">
        <x:f>IF(AND(G342="Yes",H342="Yes"),"Top-right","Other")</x:f>
        <x:v>Other</x:v>
      </x:c>
    </x:row>
    <x:row r="343">
      <x:c r="A343" s="23" t="str">
        <x:v>Kihn, Abernathy and Douglas</x:v>
      </x:c>
      <x:c r="B343" s="24" t="n">
        <x:v>74</x:v>
      </x:c>
      <x:c r="C343" s="24" t="n">
        <x:v>1</x:v>
      </x:c>
      <x:c r="D343" s="26" t="n">
        <x:v>1174.68</x:v>
      </x:c>
      <x:c r="E343" s="24" t="n">
        <x:f>B343-C343</x:f>
        <x:v>73</x:v>
      </x:c>
      <x:c r="F343" s="25" t="n">
        <x:f>C343/B343</x:f>
        <x:v>0.013513513513513514</x:v>
      </x:c>
      <x:c r="G343" s="23" t="str">
        <x:f>IF(B343&gt;$B$5,"Yes","No")</x:f>
        <x:v>Yes</x:v>
      </x:c>
      <x:c r="H343" s="23" t="str">
        <x:f>IF(F343&gt;$B$4,"Yes","No")</x:f>
        <x:v>Yes</x:v>
      </x:c>
      <x:c r="I343" s="23" t="str">
        <x:f>IF(AND(G343="Yes",H343="Yes"),"Top-right","Other")</x:f>
        <x:v>Top-right</x:v>
      </x:c>
    </x:row>
    <x:row r="344">
      <x:c r="A344" s="23" t="str">
        <x:v>McDermott-Weimann</x:v>
      </x:c>
      <x:c r="B344" s="24" t="n">
        <x:v>74</x:v>
      </x:c>
      <x:c r="C344" s="24" t="n">
        <x:v>0</x:v>
      </x:c>
      <x:c r="D344" s="26" t="n">
        <x:v>0</x:v>
      </x:c>
      <x:c r="E344" s="24" t="n">
        <x:f>B344-C344</x:f>
        <x:v>74</x:v>
      </x:c>
      <x:c r="F344" s="25" t="n">
        <x:f>C344/B344</x:f>
        <x:v>0</x:v>
      </x:c>
      <x:c r="G344" s="23" t="str">
        <x:f>IF(B344&gt;$B$5,"Yes","No")</x:f>
        <x:v>Yes</x:v>
      </x:c>
      <x:c r="H344" s="23" t="str">
        <x:f>IF(F344&gt;$B$4,"Yes","No")</x:f>
        <x:v>No</x:v>
      </x:c>
      <x:c r="I344" s="23" t="str">
        <x:f>IF(AND(G344="Yes",H344="Yes"),"Top-right","Other")</x:f>
        <x:v>Other</x:v>
      </x:c>
    </x:row>
    <x:row r="345">
      <x:c r="A345" s="23" t="str">
        <x:v>Padberg-Welch</x:v>
      </x:c>
      <x:c r="B345" s="24" t="n">
        <x:v>74</x:v>
      </x:c>
      <x:c r="C345" s="24" t="n">
        <x:v>1</x:v>
      </x:c>
      <x:c r="D345" s="26" t="n">
        <x:v>313.53</x:v>
      </x:c>
      <x:c r="E345" s="24" t="n">
        <x:f>B345-C345</x:f>
        <x:v>73</x:v>
      </x:c>
      <x:c r="F345" s="25" t="n">
        <x:f>C345/B345</x:f>
        <x:v>0.013513513513513514</x:v>
      </x:c>
      <x:c r="G345" s="23" t="str">
        <x:f>IF(B345&gt;$B$5,"Yes","No")</x:f>
        <x:v>Yes</x:v>
      </x:c>
      <x:c r="H345" s="23" t="str">
        <x:f>IF(F345&gt;$B$4,"Yes","No")</x:f>
        <x:v>Yes</x:v>
      </x:c>
      <x:c r="I345" s="23" t="str">
        <x:f>IF(AND(G345="Yes",H345="Yes"),"Top-right","Other")</x:f>
        <x:v>Top-right</x:v>
      </x:c>
    </x:row>
    <x:row r="346">
      <x:c r="A346" s="23" t="str">
        <x:v>Schumm, Bauch and Ondricka</x:v>
      </x:c>
      <x:c r="B346" s="24" t="n">
        <x:v>74</x:v>
      </x:c>
      <x:c r="C346" s="24" t="n">
        <x:v>1</x:v>
      </x:c>
      <x:c r="D346" s="26" t="n">
        <x:v>334.25</x:v>
      </x:c>
      <x:c r="E346" s="24" t="n">
        <x:f>B346-C346</x:f>
        <x:v>73</x:v>
      </x:c>
      <x:c r="F346" s="25" t="n">
        <x:f>C346/B346</x:f>
        <x:v>0.013513513513513514</x:v>
      </x:c>
      <x:c r="G346" s="23" t="str">
        <x:f>IF(B346&gt;$B$5,"Yes","No")</x:f>
        <x:v>Yes</x:v>
      </x:c>
      <x:c r="H346" s="23" t="str">
        <x:f>IF(F346&gt;$B$4,"Yes","No")</x:f>
        <x:v>Yes</x:v>
      </x:c>
      <x:c r="I346" s="23" t="str">
        <x:f>IF(AND(G346="Yes",H346="Yes"),"Top-right","Other")</x:f>
        <x:v>Top-right</x:v>
      </x:c>
    </x:row>
    <x:row r="347">
      <x:c r="A347" s="23" t="str">
        <x:v>White and Sons</x:v>
      </x:c>
      <x:c r="B347" s="24" t="n">
        <x:v>74</x:v>
      </x:c>
      <x:c r="C347" s="24" t="n">
        <x:v>0</x:v>
      </x:c>
      <x:c r="D347" s="26" t="n">
        <x:v>0</x:v>
      </x:c>
      <x:c r="E347" s="24" t="n">
        <x:f>B347-C347</x:f>
        <x:v>74</x:v>
      </x:c>
      <x:c r="F347" s="25" t="n">
        <x:f>C347/B347</x:f>
        <x:v>0</x:v>
      </x:c>
      <x:c r="G347" s="23" t="str">
        <x:f>IF(B347&gt;$B$5,"Yes","No")</x:f>
        <x:v>Yes</x:v>
      </x:c>
      <x:c r="H347" s="23" t="str">
        <x:f>IF(F347&gt;$B$4,"Yes","No")</x:f>
        <x:v>No</x:v>
      </x:c>
      <x:c r="I347" s="23" t="str">
        <x:f>IF(AND(G347="Yes",H347="Yes"),"Top-right","Other")</x:f>
        <x:v>Other</x:v>
      </x:c>
    </x:row>
    <x:row r="348">
      <x:c r="A348" s="23" t="str">
        <x:v>Bernhard, Grant and Langworth</x:v>
      </x:c>
      <x:c r="B348" s="24" t="n">
        <x:v>75</x:v>
      </x:c>
      <x:c r="C348" s="24" t="n">
        <x:v>0</x:v>
      </x:c>
      <x:c r="D348" s="26" t="n">
        <x:v>0</x:v>
      </x:c>
      <x:c r="E348" s="24" t="n">
        <x:f>B348-C348</x:f>
        <x:v>75</x:v>
      </x:c>
      <x:c r="F348" s="25" t="n">
        <x:f>C348/B348</x:f>
        <x:v>0</x:v>
      </x:c>
      <x:c r="G348" s="23" t="str">
        <x:f>IF(B348&gt;$B$5,"Yes","No")</x:f>
        <x:v>Yes</x:v>
      </x:c>
      <x:c r="H348" s="23" t="str">
        <x:f>IF(F348&gt;$B$4,"Yes","No")</x:f>
        <x:v>No</x:v>
      </x:c>
      <x:c r="I348" s="23" t="str">
        <x:f>IF(AND(G348="Yes",H348="Yes"),"Top-right","Other")</x:f>
        <x:v>Other</x:v>
      </x:c>
    </x:row>
    <x:row r="349">
      <x:c r="A349" s="23" t="str">
        <x:v>Carroll PLC</x:v>
      </x:c>
      <x:c r="B349" s="24" t="n">
        <x:v>75</x:v>
      </x:c>
      <x:c r="C349" s="24" t="n">
        <x:v>0</x:v>
      </x:c>
      <x:c r="D349" s="26" t="n">
        <x:v>0</x:v>
      </x:c>
      <x:c r="E349" s="24" t="n">
        <x:f>B349-C349</x:f>
        <x:v>75</x:v>
      </x:c>
      <x:c r="F349" s="25" t="n">
        <x:f>C349/B349</x:f>
        <x:v>0</x:v>
      </x:c>
      <x:c r="G349" s="23" t="str">
        <x:f>IF(B349&gt;$B$5,"Yes","No")</x:f>
        <x:v>Yes</x:v>
      </x:c>
      <x:c r="H349" s="23" t="str">
        <x:f>IF(F349&gt;$B$4,"Yes","No")</x:f>
        <x:v>No</x:v>
      </x:c>
      <x:c r="I349" s="23" t="str">
        <x:f>IF(AND(G349="Yes",H349="Yes"),"Top-right","Other")</x:f>
        <x:v>Other</x:v>
      </x:c>
    </x:row>
    <x:row r="350">
      <x:c r="A350" s="23" t="str">
        <x:v>Crona and Sons</x:v>
      </x:c>
      <x:c r="B350" s="24" t="n">
        <x:v>75</x:v>
      </x:c>
      <x:c r="C350" s="24" t="n">
        <x:v>0</x:v>
      </x:c>
      <x:c r="D350" s="26" t="n">
        <x:v>0</x:v>
      </x:c>
      <x:c r="E350" s="24" t="n">
        <x:f>B350-C350</x:f>
        <x:v>75</x:v>
      </x:c>
      <x:c r="F350" s="25" t="n">
        <x:f>C350/B350</x:f>
        <x:v>0</x:v>
      </x:c>
      <x:c r="G350" s="23" t="str">
        <x:f>IF(B350&gt;$B$5,"Yes","No")</x:f>
        <x:v>Yes</x:v>
      </x:c>
      <x:c r="H350" s="23" t="str">
        <x:f>IF(F350&gt;$B$4,"Yes","No")</x:f>
        <x:v>No</x:v>
      </x:c>
      <x:c r="I350" s="23" t="str">
        <x:f>IF(AND(G350="Yes",H350="Yes"),"Top-right","Other")</x:f>
        <x:v>Other</x:v>
      </x:c>
    </x:row>
    <x:row r="351">
      <x:c r="A351" s="23" t="str">
        <x:v>Gislason Group</x:v>
      </x:c>
      <x:c r="B351" s="24" t="n">
        <x:v>75</x:v>
      </x:c>
      <x:c r="C351" s="24" t="n">
        <x:v>0</x:v>
      </x:c>
      <x:c r="D351" s="26" t="n">
        <x:v>0</x:v>
      </x:c>
      <x:c r="E351" s="24" t="n">
        <x:f>B351-C351</x:f>
        <x:v>75</x:v>
      </x:c>
      <x:c r="F351" s="25" t="n">
        <x:f>C351/B351</x:f>
        <x:v>0</x:v>
      </x:c>
      <x:c r="G351" s="23" t="str">
        <x:f>IF(B351&gt;$B$5,"Yes","No")</x:f>
        <x:v>Yes</x:v>
      </x:c>
      <x:c r="H351" s="23" t="str">
        <x:f>IF(F351&gt;$B$4,"Yes","No")</x:f>
        <x:v>No</x:v>
      </x:c>
      <x:c r="I351" s="23" t="str">
        <x:f>IF(AND(G351="Yes",H351="Yes"),"Top-right","Other")</x:f>
        <x:v>Other</x:v>
      </x:c>
    </x:row>
    <x:row r="352">
      <x:c r="A352" s="23" t="str">
        <x:v>Hills-Witting</x:v>
      </x:c>
      <x:c r="B352" s="24" t="n">
        <x:v>75</x:v>
      </x:c>
      <x:c r="C352" s="24" t="n">
        <x:v>2</x:v>
      </x:c>
      <x:c r="D352" s="26" t="n">
        <x:v>1803.6999999999998</x:v>
      </x:c>
      <x:c r="E352" s="24" t="n">
        <x:f>B352-C352</x:f>
        <x:v>73</x:v>
      </x:c>
      <x:c r="F352" s="25" t="n">
        <x:f>C352/B352</x:f>
        <x:v>0.02666666666666667</x:v>
      </x:c>
      <x:c r="G352" s="23" t="str">
        <x:f>IF(B352&gt;$B$5,"Yes","No")</x:f>
        <x:v>Yes</x:v>
      </x:c>
      <x:c r="H352" s="23" t="str">
        <x:f>IF(F352&gt;$B$4,"Yes","No")</x:f>
        <x:v>Yes</x:v>
      </x:c>
      <x:c r="I352" s="23" t="str">
        <x:f>IF(AND(G352="Yes",H352="Yes"),"Top-right","Other")</x:f>
        <x:v>Top-right</x:v>
      </x:c>
    </x:row>
    <x:row r="353">
      <x:c r="A353" s="23" t="str">
        <x:v>Jakubowski Inc</x:v>
      </x:c>
      <x:c r="B353" s="24" t="n">
        <x:v>75</x:v>
      </x:c>
      <x:c r="C353" s="24" t="n">
        <x:v>0</x:v>
      </x:c>
      <x:c r="D353" s="26" t="n">
        <x:v>0</x:v>
      </x:c>
      <x:c r="E353" s="24" t="n">
        <x:f>B353-C353</x:f>
        <x:v>75</x:v>
      </x:c>
      <x:c r="F353" s="25" t="n">
        <x:f>C353/B353</x:f>
        <x:v>0</x:v>
      </x:c>
      <x:c r="G353" s="23" t="str">
        <x:f>IF(B353&gt;$B$5,"Yes","No")</x:f>
        <x:v>Yes</x:v>
      </x:c>
      <x:c r="H353" s="23" t="str">
        <x:f>IF(F353&gt;$B$4,"Yes","No")</x:f>
        <x:v>No</x:v>
      </x:c>
      <x:c r="I353" s="23" t="str">
        <x:f>IF(AND(G353="Yes",H353="Yes"),"Top-right","Other")</x:f>
        <x:v>Other</x:v>
      </x:c>
    </x:row>
    <x:row r="354">
      <x:c r="A354" s="23" t="str">
        <x:v>Kling-Ernser</x:v>
      </x:c>
      <x:c r="B354" s="24" t="n">
        <x:v>75</x:v>
      </x:c>
      <x:c r="C354" s="24" t="n">
        <x:v>0</x:v>
      </x:c>
      <x:c r="D354" s="26" t="n">
        <x:v>0</x:v>
      </x:c>
      <x:c r="E354" s="24" t="n">
        <x:f>B354-C354</x:f>
        <x:v>75</x:v>
      </x:c>
      <x:c r="F354" s="25" t="n">
        <x:f>C354/B354</x:f>
        <x:v>0</x:v>
      </x:c>
      <x:c r="G354" s="23" t="str">
        <x:f>IF(B354&gt;$B$5,"Yes","No")</x:f>
        <x:v>Yes</x:v>
      </x:c>
      <x:c r="H354" s="23" t="str">
        <x:f>IF(F354&gt;$B$4,"Yes","No")</x:f>
        <x:v>No</x:v>
      </x:c>
      <x:c r="I354" s="23" t="str">
        <x:f>IF(AND(G354="Yes",H354="Yes"),"Top-right","Other")</x:f>
        <x:v>Other</x:v>
      </x:c>
    </x:row>
    <x:row r="355">
      <x:c r="A355" s="23" t="str">
        <x:v>Lemke-Gutmann</x:v>
      </x:c>
      <x:c r="B355" s="24" t="n">
        <x:v>75</x:v>
      </x:c>
      <x:c r="C355" s="24" t="n">
        <x:v>0</x:v>
      </x:c>
      <x:c r="D355" s="26" t="n">
        <x:v>0</x:v>
      </x:c>
      <x:c r="E355" s="24" t="n">
        <x:f>B355-C355</x:f>
        <x:v>75</x:v>
      </x:c>
      <x:c r="F355" s="25" t="n">
        <x:f>C355/B355</x:f>
        <x:v>0</x:v>
      </x:c>
      <x:c r="G355" s="23" t="str">
        <x:f>IF(B355&gt;$B$5,"Yes","No")</x:f>
        <x:v>Yes</x:v>
      </x:c>
      <x:c r="H355" s="23" t="str">
        <x:f>IF(F355&gt;$B$4,"Yes","No")</x:f>
        <x:v>No</x:v>
      </x:c>
      <x:c r="I355" s="23" t="str">
        <x:f>IF(AND(G355="Yes",H355="Yes"),"Top-right","Other")</x:f>
        <x:v>Other</x:v>
      </x:c>
    </x:row>
    <x:row r="356">
      <x:c r="A356" s="23" t="str">
        <x:v>Lesch Ltd</x:v>
      </x:c>
      <x:c r="B356" s="24" t="n">
        <x:v>75</x:v>
      </x:c>
      <x:c r="C356" s="24" t="n">
        <x:v>1</x:v>
      </x:c>
      <x:c r="D356" s="26" t="n">
        <x:v>652.05</x:v>
      </x:c>
      <x:c r="E356" s="24" t="n">
        <x:f>B356-C356</x:f>
        <x:v>74</x:v>
      </x:c>
      <x:c r="F356" s="25" t="n">
        <x:f>C356/B356</x:f>
        <x:v>0.013333333333333334</x:v>
      </x:c>
      <x:c r="G356" s="23" t="str">
        <x:f>IF(B356&gt;$B$5,"Yes","No")</x:f>
        <x:v>Yes</x:v>
      </x:c>
      <x:c r="H356" s="23" t="str">
        <x:f>IF(F356&gt;$B$4,"Yes","No")</x:f>
        <x:v>Yes</x:v>
      </x:c>
      <x:c r="I356" s="23" t="str">
        <x:f>IF(AND(G356="Yes",H356="Yes"),"Top-right","Other")</x:f>
        <x:v>Top-right</x:v>
      </x:c>
    </x:row>
    <x:row r="357">
      <x:c r="A357" s="23" t="str">
        <x:v>Luettgen PLC</x:v>
      </x:c>
      <x:c r="B357" s="24" t="n">
        <x:v>75</x:v>
      </x:c>
      <x:c r="C357" s="24" t="n">
        <x:v>0</x:v>
      </x:c>
      <x:c r="D357" s="26" t="n">
        <x:v>0</x:v>
      </x:c>
      <x:c r="E357" s="24" t="n">
        <x:f>B357-C357</x:f>
        <x:v>75</x:v>
      </x:c>
      <x:c r="F357" s="25" t="n">
        <x:f>C357/B357</x:f>
        <x:v>0</x:v>
      </x:c>
      <x:c r="G357" s="23" t="str">
        <x:f>IF(B357&gt;$B$5,"Yes","No")</x:f>
        <x:v>Yes</x:v>
      </x:c>
      <x:c r="H357" s="23" t="str">
        <x:f>IF(F357&gt;$B$4,"Yes","No")</x:f>
        <x:v>No</x:v>
      </x:c>
      <x:c r="I357" s="23" t="str">
        <x:f>IF(AND(G357="Yes",H357="Yes"),"Top-right","Other")</x:f>
        <x:v>Other</x:v>
      </x:c>
    </x:row>
    <x:row r="358">
      <x:c r="A358" s="23" t="str">
        <x:v>Moore, Williamson and Emmerich</x:v>
      </x:c>
      <x:c r="B358" s="24" t="n">
        <x:v>75</x:v>
      </x:c>
      <x:c r="C358" s="24" t="n">
        <x:v>0</x:v>
      </x:c>
      <x:c r="D358" s="26" t="n">
        <x:v>0</x:v>
      </x:c>
      <x:c r="E358" s="24" t="n">
        <x:f>B358-C358</x:f>
        <x:v>75</x:v>
      </x:c>
      <x:c r="F358" s="25" t="n">
        <x:f>C358/B358</x:f>
        <x:v>0</x:v>
      </x:c>
      <x:c r="G358" s="23" t="str">
        <x:f>IF(B358&gt;$B$5,"Yes","No")</x:f>
        <x:v>Yes</x:v>
      </x:c>
      <x:c r="H358" s="23" t="str">
        <x:f>IF(F358&gt;$B$4,"Yes","No")</x:f>
        <x:v>No</x:v>
      </x:c>
      <x:c r="I358" s="23" t="str">
        <x:f>IF(AND(G358="Yes",H358="Yes"),"Top-right","Other")</x:f>
        <x:v>Other</x:v>
      </x:c>
    </x:row>
    <x:row r="359">
      <x:c r="A359" s="23" t="str">
        <x:v>Murray-Smitham</x:v>
      </x:c>
      <x:c r="B359" s="24" t="n">
        <x:v>75</x:v>
      </x:c>
      <x:c r="C359" s="24" t="n">
        <x:v>1</x:v>
      </x:c>
      <x:c r="D359" s="26" t="n">
        <x:v>355.27</x:v>
      </x:c>
      <x:c r="E359" s="24" t="n">
        <x:f>B359-C359</x:f>
        <x:v>74</x:v>
      </x:c>
      <x:c r="F359" s="25" t="n">
        <x:f>C359/B359</x:f>
        <x:v>0.013333333333333334</x:v>
      </x:c>
      <x:c r="G359" s="23" t="str">
        <x:f>IF(B359&gt;$B$5,"Yes","No")</x:f>
        <x:v>Yes</x:v>
      </x:c>
      <x:c r="H359" s="23" t="str">
        <x:f>IF(F359&gt;$B$4,"Yes","No")</x:f>
        <x:v>Yes</x:v>
      </x:c>
      <x:c r="I359" s="23" t="str">
        <x:f>IF(AND(G359="Yes",H359="Yes"),"Top-right","Other")</x:f>
        <x:v>Top-right</x:v>
      </x:c>
    </x:row>
    <x:row r="360">
      <x:c r="A360" s="23" t="str">
        <x:v>Pollich LLC</x:v>
      </x:c>
      <x:c r="B360" s="24" t="n">
        <x:v>75</x:v>
      </x:c>
      <x:c r="C360" s="24" t="n">
        <x:v>0</x:v>
      </x:c>
      <x:c r="D360" s="26" t="n">
        <x:v>0</x:v>
      </x:c>
      <x:c r="E360" s="24" t="n">
        <x:f>B360-C360</x:f>
        <x:v>75</x:v>
      </x:c>
      <x:c r="F360" s="25" t="n">
        <x:f>C360/B360</x:f>
        <x:v>0</x:v>
      </x:c>
      <x:c r="G360" s="23" t="str">
        <x:f>IF(B360&gt;$B$5,"Yes","No")</x:f>
        <x:v>Yes</x:v>
      </x:c>
      <x:c r="H360" s="23" t="str">
        <x:f>IF(F360&gt;$B$4,"Yes","No")</x:f>
        <x:v>No</x:v>
      </x:c>
      <x:c r="I360" s="23" t="str">
        <x:f>IF(AND(G360="Yes",H360="Yes"),"Top-right","Other")</x:f>
        <x:v>Other</x:v>
      </x:c>
    </x:row>
    <x:row r="361">
      <x:c r="A361" s="23" t="str">
        <x:v>Pouros-Conroy</x:v>
      </x:c>
      <x:c r="B361" s="24" t="n">
        <x:v>75</x:v>
      </x:c>
      <x:c r="C361" s="24" t="n">
        <x:v>0</x:v>
      </x:c>
      <x:c r="D361" s="26" t="n">
        <x:v>0</x:v>
      </x:c>
      <x:c r="E361" s="24" t="n">
        <x:f>B361-C361</x:f>
        <x:v>75</x:v>
      </x:c>
      <x:c r="F361" s="25" t="n">
        <x:f>C361/B361</x:f>
        <x:v>0</x:v>
      </x:c>
      <x:c r="G361" s="23" t="str">
        <x:f>IF(B361&gt;$B$5,"Yes","No")</x:f>
        <x:v>Yes</x:v>
      </x:c>
      <x:c r="H361" s="23" t="str">
        <x:f>IF(F361&gt;$B$4,"Yes","No")</x:f>
        <x:v>No</x:v>
      </x:c>
      <x:c r="I361" s="23" t="str">
        <x:f>IF(AND(G361="Yes",H361="Yes"),"Top-right","Other")</x:f>
        <x:v>Other</x:v>
      </x:c>
    </x:row>
    <x:row r="362">
      <x:c r="A362" s="23" t="str">
        <x:v>Roberts, Daniel and Macejkovic</x:v>
      </x:c>
      <x:c r="B362" s="24" t="n">
        <x:v>75</x:v>
      </x:c>
      <x:c r="C362" s="24" t="n">
        <x:v>0</x:v>
      </x:c>
      <x:c r="D362" s="26" t="n">
        <x:v>0</x:v>
      </x:c>
      <x:c r="E362" s="24" t="n">
        <x:f>B362-C362</x:f>
        <x:v>75</x:v>
      </x:c>
      <x:c r="F362" s="25" t="n">
        <x:f>C362/B362</x:f>
        <x:v>0</x:v>
      </x:c>
      <x:c r="G362" s="23" t="str">
        <x:f>IF(B362&gt;$B$5,"Yes","No")</x:f>
        <x:v>Yes</x:v>
      </x:c>
      <x:c r="H362" s="23" t="str">
        <x:f>IF(F362&gt;$B$4,"Yes","No")</x:f>
        <x:v>No</x:v>
      </x:c>
      <x:c r="I362" s="23" t="str">
        <x:f>IF(AND(G362="Yes",H362="Yes"),"Top-right","Other")</x:f>
        <x:v>Other</x:v>
      </x:c>
    </x:row>
    <x:row r="363">
      <x:c r="A363" s="23" t="str">
        <x:v>Watsica, Haag and Considine</x:v>
      </x:c>
      <x:c r="B363" s="24" t="n">
        <x:v>75</x:v>
      </x:c>
      <x:c r="C363" s="24" t="n">
        <x:v>0</x:v>
      </x:c>
      <x:c r="D363" s="26" t="n">
        <x:v>0</x:v>
      </x:c>
      <x:c r="E363" s="24" t="n">
        <x:f>B363-C363</x:f>
        <x:v>75</x:v>
      </x:c>
      <x:c r="F363" s="25" t="n">
        <x:f>C363/B363</x:f>
        <x:v>0</x:v>
      </x:c>
      <x:c r="G363" s="23" t="str">
        <x:f>IF(B363&gt;$B$5,"Yes","No")</x:f>
        <x:v>Yes</x:v>
      </x:c>
      <x:c r="H363" s="23" t="str">
        <x:f>IF(F363&gt;$B$4,"Yes","No")</x:f>
        <x:v>No</x:v>
      </x:c>
      <x:c r="I363" s="23" t="str">
        <x:f>IF(AND(G363="Yes",H363="Yes"),"Top-right","Other")</x:f>
        <x:v>Other</x:v>
      </x:c>
    </x:row>
    <x:row r="364">
      <x:c r="A364" s="23" t="str">
        <x:v>Zieme, Bode and Dooley</x:v>
      </x:c>
      <x:c r="B364" s="24" t="n">
        <x:v>75</x:v>
      </x:c>
      <x:c r="C364" s="24" t="n">
        <x:v>0</x:v>
      </x:c>
      <x:c r="D364" s="26" t="n">
        <x:v>0</x:v>
      </x:c>
      <x:c r="E364" s="24" t="n">
        <x:f>B364-C364</x:f>
        <x:v>75</x:v>
      </x:c>
      <x:c r="F364" s="25" t="n">
        <x:f>C364/B364</x:f>
        <x:v>0</x:v>
      </x:c>
      <x:c r="G364" s="23" t="str">
        <x:f>IF(B364&gt;$B$5,"Yes","No")</x:f>
        <x:v>Yes</x:v>
      </x:c>
      <x:c r="H364" s="23" t="str">
        <x:f>IF(F364&gt;$B$4,"Yes","No")</x:f>
        <x:v>No</x:v>
      </x:c>
      <x:c r="I364" s="23" t="str">
        <x:f>IF(AND(G364="Yes",H364="Yes"),"Top-right","Other")</x:f>
        <x:v>Other</x:v>
      </x:c>
    </x:row>
    <x:row r="365">
      <x:c r="A365" s="23" t="str">
        <x:v>Beier-Hyatt</x:v>
      </x:c>
      <x:c r="B365" s="24" t="n">
        <x:v>76</x:v>
      </x:c>
      <x:c r="C365" s="24" t="n">
        <x:v>1</x:v>
      </x:c>
      <x:c r="D365" s="26" t="n">
        <x:v>908.31</x:v>
      </x:c>
      <x:c r="E365" s="24" t="n">
        <x:f>B365-C365</x:f>
        <x:v>75</x:v>
      </x:c>
      <x:c r="F365" s="25" t="n">
        <x:f>C365/B365</x:f>
        <x:v>0.013157894736842105</x:v>
      </x:c>
      <x:c r="G365" s="23" t="str">
        <x:f>IF(B365&gt;$B$5,"Yes","No")</x:f>
        <x:v>Yes</x:v>
      </x:c>
      <x:c r="H365" s="23" t="str">
        <x:f>IF(F365&gt;$B$4,"Yes","No")</x:f>
        <x:v>Yes</x:v>
      </x:c>
      <x:c r="I365" s="23" t="str">
        <x:f>IF(AND(G365="Yes",H365="Yes"),"Top-right","Other")</x:f>
        <x:v>Top-right</x:v>
      </x:c>
    </x:row>
    <x:row r="366">
      <x:c r="A366" s="23" t="str">
        <x:v>Conroy Ltd</x:v>
      </x:c>
      <x:c r="B366" s="24" t="n">
        <x:v>76</x:v>
      </x:c>
      <x:c r="C366" s="24" t="n">
        <x:v>0</x:v>
      </x:c>
      <x:c r="D366" s="26" t="n">
        <x:v>0</x:v>
      </x:c>
      <x:c r="E366" s="24" t="n">
        <x:f>B366-C366</x:f>
        <x:v>76</x:v>
      </x:c>
      <x:c r="F366" s="25" t="n">
        <x:f>C366/B366</x:f>
        <x:v>0</x:v>
      </x:c>
      <x:c r="G366" s="23" t="str">
        <x:f>IF(B366&gt;$B$5,"Yes","No")</x:f>
        <x:v>Yes</x:v>
      </x:c>
      <x:c r="H366" s="23" t="str">
        <x:f>IF(F366&gt;$B$4,"Yes","No")</x:f>
        <x:v>No</x:v>
      </x:c>
      <x:c r="I366" s="23" t="str">
        <x:f>IF(AND(G366="Yes",H366="Yes"),"Top-right","Other")</x:f>
        <x:v>Other</x:v>
      </x:c>
    </x:row>
    <x:row r="367">
      <x:c r="A367" s="23" t="str">
        <x:v>Fisher Inc</x:v>
      </x:c>
      <x:c r="B367" s="24" t="n">
        <x:v>76</x:v>
      </x:c>
      <x:c r="C367" s="24" t="n">
        <x:v>1</x:v>
      </x:c>
      <x:c r="D367" s="26" t="n">
        <x:v>1153.61</x:v>
      </x:c>
      <x:c r="E367" s="24" t="n">
        <x:f>B367-C367</x:f>
        <x:v>75</x:v>
      </x:c>
      <x:c r="F367" s="25" t="n">
        <x:f>C367/B367</x:f>
        <x:v>0.013157894736842105</x:v>
      </x:c>
      <x:c r="G367" s="23" t="str">
        <x:f>IF(B367&gt;$B$5,"Yes","No")</x:f>
        <x:v>Yes</x:v>
      </x:c>
      <x:c r="H367" s="23" t="str">
        <x:f>IF(F367&gt;$B$4,"Yes","No")</x:f>
        <x:v>Yes</x:v>
      </x:c>
      <x:c r="I367" s="23" t="str">
        <x:f>IF(AND(G367="Yes",H367="Yes"),"Top-right","Other")</x:f>
        <x:v>Top-right</x:v>
      </x:c>
    </x:row>
    <x:row r="368">
      <x:c r="A368" s="23" t="str">
        <x:v>Gibson-Deckow</x:v>
      </x:c>
      <x:c r="B368" s="24" t="n">
        <x:v>76</x:v>
      </x:c>
      <x:c r="C368" s="24" t="n">
        <x:v>0</x:v>
      </x:c>
      <x:c r="D368" s="26" t="n">
        <x:v>0</x:v>
      </x:c>
      <x:c r="E368" s="24" t="n">
        <x:f>B368-C368</x:f>
        <x:v>76</x:v>
      </x:c>
      <x:c r="F368" s="25" t="n">
        <x:f>C368/B368</x:f>
        <x:v>0</x:v>
      </x:c>
      <x:c r="G368" s="23" t="str">
        <x:f>IF(B368&gt;$B$5,"Yes","No")</x:f>
        <x:v>Yes</x:v>
      </x:c>
      <x:c r="H368" s="23" t="str">
        <x:f>IF(F368&gt;$B$4,"Yes","No")</x:f>
        <x:v>No</x:v>
      </x:c>
      <x:c r="I368" s="23" t="str">
        <x:f>IF(AND(G368="Yes",H368="Yes"),"Top-right","Other")</x:f>
        <x:v>Other</x:v>
      </x:c>
    </x:row>
    <x:row r="369">
      <x:c r="A369" s="23" t="str">
        <x:v>Koepp-Parker</x:v>
      </x:c>
      <x:c r="B369" s="24" t="n">
        <x:v>76</x:v>
      </x:c>
      <x:c r="C369" s="24" t="n">
        <x:v>1</x:v>
      </x:c>
      <x:c r="D369" s="26" t="n">
        <x:v>333.11</x:v>
      </x:c>
      <x:c r="E369" s="24" t="n">
        <x:f>B369-C369</x:f>
        <x:v>75</x:v>
      </x:c>
      <x:c r="F369" s="25" t="n">
        <x:f>C369/B369</x:f>
        <x:v>0.013157894736842105</x:v>
      </x:c>
      <x:c r="G369" s="23" t="str">
        <x:f>IF(B369&gt;$B$5,"Yes","No")</x:f>
        <x:v>Yes</x:v>
      </x:c>
      <x:c r="H369" s="23" t="str">
        <x:f>IF(F369&gt;$B$4,"Yes","No")</x:f>
        <x:v>Yes</x:v>
      </x:c>
      <x:c r="I369" s="23" t="str">
        <x:f>IF(AND(G369="Yes",H369="Yes"),"Top-right","Other")</x:f>
        <x:v>Top-right</x:v>
      </x:c>
    </x:row>
    <x:row r="370">
      <x:c r="A370" s="23" t="str">
        <x:v>Pouros, Walker and Spencer</x:v>
      </x:c>
      <x:c r="B370" s="24" t="n">
        <x:v>76</x:v>
      </x:c>
      <x:c r="C370" s="24" t="n">
        <x:v>0</x:v>
      </x:c>
      <x:c r="D370" s="26" t="n">
        <x:v>0</x:v>
      </x:c>
      <x:c r="E370" s="24" t="n">
        <x:f>B370-C370</x:f>
        <x:v>76</x:v>
      </x:c>
      <x:c r="F370" s="25" t="n">
        <x:f>C370/B370</x:f>
        <x:v>0</x:v>
      </x:c>
      <x:c r="G370" s="23" t="str">
        <x:f>IF(B370&gt;$B$5,"Yes","No")</x:f>
        <x:v>Yes</x:v>
      </x:c>
      <x:c r="H370" s="23" t="str">
        <x:f>IF(F370&gt;$B$4,"Yes","No")</x:f>
        <x:v>No</x:v>
      </x:c>
      <x:c r="I370" s="23" t="str">
        <x:f>IF(AND(G370="Yes",H370="Yes"),"Top-right","Other")</x:f>
        <x:v>Other</x:v>
      </x:c>
    </x:row>
    <x:row r="371">
      <x:c r="A371" s="23" t="str">
        <x:v>Powlowski-Weimann</x:v>
      </x:c>
      <x:c r="B371" s="24" t="n">
        <x:v>76</x:v>
      </x:c>
      <x:c r="C371" s="24" t="n">
        <x:v>0</x:v>
      </x:c>
      <x:c r="D371" s="26" t="n">
        <x:v>0</x:v>
      </x:c>
      <x:c r="E371" s="24" t="n">
        <x:f>B371-C371</x:f>
        <x:v>76</x:v>
      </x:c>
      <x:c r="F371" s="25" t="n">
        <x:f>C371/B371</x:f>
        <x:v>0</x:v>
      </x:c>
      <x:c r="G371" s="23" t="str">
        <x:f>IF(B371&gt;$B$5,"Yes","No")</x:f>
        <x:v>Yes</x:v>
      </x:c>
      <x:c r="H371" s="23" t="str">
        <x:f>IF(F371&gt;$B$4,"Yes","No")</x:f>
        <x:v>No</x:v>
      </x:c>
      <x:c r="I371" s="23" t="str">
        <x:f>IF(AND(G371="Yes",H371="Yes"),"Top-right","Other")</x:f>
        <x:v>Other</x:v>
      </x:c>
    </x:row>
    <x:row r="372">
      <x:c r="A372" s="23" t="str">
        <x:v>Torp-Labadie</x:v>
      </x:c>
      <x:c r="B372" s="24" t="n">
        <x:v>76</x:v>
      </x:c>
      <x:c r="C372" s="24" t="n">
        <x:v>0</x:v>
      </x:c>
      <x:c r="D372" s="26" t="n">
        <x:v>0</x:v>
      </x:c>
      <x:c r="E372" s="24" t="n">
        <x:f>B372-C372</x:f>
        <x:v>76</x:v>
      </x:c>
      <x:c r="F372" s="25" t="n">
        <x:f>C372/B372</x:f>
        <x:v>0</x:v>
      </x:c>
      <x:c r="G372" s="23" t="str">
        <x:f>IF(B372&gt;$B$5,"Yes","No")</x:f>
        <x:v>Yes</x:v>
      </x:c>
      <x:c r="H372" s="23" t="str">
        <x:f>IF(F372&gt;$B$4,"Yes","No")</x:f>
        <x:v>No</x:v>
      </x:c>
      <x:c r="I372" s="23" t="str">
        <x:f>IF(AND(G372="Yes",H372="Yes"),"Top-right","Other")</x:f>
        <x:v>Other</x:v>
      </x:c>
    </x:row>
    <x:row r="373">
      <x:c r="A373" s="23" t="str">
        <x:v>Barton Inc</x:v>
      </x:c>
      <x:c r="B373" s="24" t="n">
        <x:v>77</x:v>
      </x:c>
      <x:c r="C373" s="24" t="n">
        <x:v>1</x:v>
      </x:c>
      <x:c r="D373" s="26" t="n">
        <x:v>324.93</x:v>
      </x:c>
      <x:c r="E373" s="24" t="n">
        <x:f>B373-C373</x:f>
        <x:v>76</x:v>
      </x:c>
      <x:c r="F373" s="25" t="n">
        <x:f>C373/B373</x:f>
        <x:v>0.012987012987012988</x:v>
      </x:c>
      <x:c r="G373" s="23" t="str">
        <x:f>IF(B373&gt;$B$5,"Yes","No")</x:f>
        <x:v>Yes</x:v>
      </x:c>
      <x:c r="H373" s="23" t="str">
        <x:f>IF(F373&gt;$B$4,"Yes","No")</x:f>
        <x:v>Yes</x:v>
      </x:c>
      <x:c r="I373" s="23" t="str">
        <x:f>IF(AND(G373="Yes",H373="Yes"),"Top-right","Other")</x:f>
        <x:v>Top-right</x:v>
      </x:c>
    </x:row>
    <x:row r="374">
      <x:c r="A374" s="23" t="str">
        <x:v>Dooley Inc</x:v>
      </x:c>
      <x:c r="B374" s="24" t="n">
        <x:v>77</x:v>
      </x:c>
      <x:c r="C374" s="24" t="n">
        <x:v>2</x:v>
      </x:c>
      <x:c r="D374" s="26" t="n">
        <x:v>1912.23</x:v>
      </x:c>
      <x:c r="E374" s="24" t="n">
        <x:f>B374-C374</x:f>
        <x:v>75</x:v>
      </x:c>
      <x:c r="F374" s="25" t="n">
        <x:f>C374/B374</x:f>
        <x:v>0.025974025974025976</x:v>
      </x:c>
      <x:c r="G374" s="23" t="str">
        <x:f>IF(B374&gt;$B$5,"Yes","No")</x:f>
        <x:v>Yes</x:v>
      </x:c>
      <x:c r="H374" s="23" t="str">
        <x:f>IF(F374&gt;$B$4,"Yes","No")</x:f>
        <x:v>Yes</x:v>
      </x:c>
      <x:c r="I374" s="23" t="str">
        <x:f>IF(AND(G374="Yes",H374="Yes"),"Top-right","Other")</x:f>
        <x:v>Top-right</x:v>
      </x:c>
    </x:row>
    <x:row r="375">
      <x:c r="A375" s="23" t="str">
        <x:v>Heidenreich PLC</x:v>
      </x:c>
      <x:c r="B375" s="24" t="n">
        <x:v>77</x:v>
      </x:c>
      <x:c r="C375" s="24" t="n">
        <x:v>1</x:v>
      </x:c>
      <x:c r="D375" s="26" t="n">
        <x:v>283.56</x:v>
      </x:c>
      <x:c r="E375" s="24" t="n">
        <x:f>B375-C375</x:f>
        <x:v>76</x:v>
      </x:c>
      <x:c r="F375" s="25" t="n">
        <x:f>C375/B375</x:f>
        <x:v>0.012987012987012988</x:v>
      </x:c>
      <x:c r="G375" s="23" t="str">
        <x:f>IF(B375&gt;$B$5,"Yes","No")</x:f>
        <x:v>Yes</x:v>
      </x:c>
      <x:c r="H375" s="23" t="str">
        <x:f>IF(F375&gt;$B$4,"Yes","No")</x:f>
        <x:v>Yes</x:v>
      </x:c>
      <x:c r="I375" s="23" t="str">
        <x:f>IF(AND(G375="Yes",H375="Yes"),"Top-right","Other")</x:f>
        <x:v>Top-right</x:v>
      </x:c>
    </x:row>
    <x:row r="376">
      <x:c r="A376" s="23" t="str">
        <x:v>Hudson-Grady</x:v>
      </x:c>
      <x:c r="B376" s="24" t="n">
        <x:v>77</x:v>
      </x:c>
      <x:c r="C376" s="24" t="n">
        <x:v>1</x:v>
      </x:c>
      <x:c r="D376" s="26" t="n">
        <x:v>838.3</x:v>
      </x:c>
      <x:c r="E376" s="24" t="n">
        <x:f>B376-C376</x:f>
        <x:v>76</x:v>
      </x:c>
      <x:c r="F376" s="25" t="n">
        <x:f>C376/B376</x:f>
        <x:v>0.012987012987012988</x:v>
      </x:c>
      <x:c r="G376" s="23" t="str">
        <x:f>IF(B376&gt;$B$5,"Yes","No")</x:f>
        <x:v>Yes</x:v>
      </x:c>
      <x:c r="H376" s="23" t="str">
        <x:f>IF(F376&gt;$B$4,"Yes","No")</x:f>
        <x:v>Yes</x:v>
      </x:c>
      <x:c r="I376" s="23" t="str">
        <x:f>IF(AND(G376="Yes",H376="Yes"),"Top-right","Other")</x:f>
        <x:v>Top-right</x:v>
      </x:c>
    </x:row>
    <x:row r="377">
      <x:c r="A377" s="23" t="str">
        <x:v>Kuhic LLC</x:v>
      </x:c>
      <x:c r="B377" s="24" t="n">
        <x:v>77</x:v>
      </x:c>
      <x:c r="C377" s="24" t="n">
        <x:v>2</x:v>
      </x:c>
      <x:c r="D377" s="26" t="n">
        <x:v>1961.98</x:v>
      </x:c>
      <x:c r="E377" s="24" t="n">
        <x:f>B377-C377</x:f>
        <x:v>75</x:v>
      </x:c>
      <x:c r="F377" s="25" t="n">
        <x:f>C377/B377</x:f>
        <x:v>0.025974025974025976</x:v>
      </x:c>
      <x:c r="G377" s="23" t="str">
        <x:f>IF(B377&gt;$B$5,"Yes","No")</x:f>
        <x:v>Yes</x:v>
      </x:c>
      <x:c r="H377" s="23" t="str">
        <x:f>IF(F377&gt;$B$4,"Yes","No")</x:f>
        <x:v>Yes</x:v>
      </x:c>
      <x:c r="I377" s="23" t="str">
        <x:f>IF(AND(G377="Yes",H377="Yes"),"Top-right","Other")</x:f>
        <x:v>Top-right</x:v>
      </x:c>
    </x:row>
    <x:row r="378">
      <x:c r="A378" s="23" t="str">
        <x:v>Lockman Ltd</x:v>
      </x:c>
      <x:c r="B378" s="24" t="n">
        <x:v>77</x:v>
      </x:c>
      <x:c r="C378" s="24" t="n">
        <x:v>0</x:v>
      </x:c>
      <x:c r="D378" s="26" t="n">
        <x:v>0</x:v>
      </x:c>
      <x:c r="E378" s="24" t="n">
        <x:f>B378-C378</x:f>
        <x:v>77</x:v>
      </x:c>
      <x:c r="F378" s="25" t="n">
        <x:f>C378/B378</x:f>
        <x:v>0</x:v>
      </x:c>
      <x:c r="G378" s="23" t="str">
        <x:f>IF(B378&gt;$B$5,"Yes","No")</x:f>
        <x:v>Yes</x:v>
      </x:c>
      <x:c r="H378" s="23" t="str">
        <x:f>IF(F378&gt;$B$4,"Yes","No")</x:f>
        <x:v>No</x:v>
      </x:c>
      <x:c r="I378" s="23" t="str">
        <x:f>IF(AND(G378="Yes",H378="Yes"),"Top-right","Other")</x:f>
        <x:v>Other</x:v>
      </x:c>
    </x:row>
    <x:row r="379">
      <x:c r="A379" s="23" t="str">
        <x:v>Rau and Sons</x:v>
      </x:c>
      <x:c r="B379" s="24" t="n">
        <x:v>77</x:v>
      </x:c>
      <x:c r="C379" s="24" t="n">
        <x:v>1</x:v>
      </x:c>
      <x:c r="D379" s="26" t="n">
        <x:v>303.92</x:v>
      </x:c>
      <x:c r="E379" s="24" t="n">
        <x:f>B379-C379</x:f>
        <x:v>76</x:v>
      </x:c>
      <x:c r="F379" s="25" t="n">
        <x:f>C379/B379</x:f>
        <x:v>0.012987012987012988</x:v>
      </x:c>
      <x:c r="G379" s="23" t="str">
        <x:f>IF(B379&gt;$B$5,"Yes","No")</x:f>
        <x:v>Yes</x:v>
      </x:c>
      <x:c r="H379" s="23" t="str">
        <x:f>IF(F379&gt;$B$4,"Yes","No")</x:f>
        <x:v>Yes</x:v>
      </x:c>
      <x:c r="I379" s="23" t="str">
        <x:f>IF(AND(G379="Yes",H379="Yes"),"Top-right","Other")</x:f>
        <x:v>Top-right</x:v>
      </x:c>
    </x:row>
    <x:row r="380">
      <x:c r="A380" s="23" t="str">
        <x:v>Rau-Robel</x:v>
      </x:c>
      <x:c r="B380" s="24" t="n">
        <x:v>77</x:v>
      </x:c>
      <x:c r="C380" s="24" t="n">
        <x:v>0</x:v>
      </x:c>
      <x:c r="D380" s="26" t="n">
        <x:v>0</x:v>
      </x:c>
      <x:c r="E380" s="24" t="n">
        <x:f>B380-C380</x:f>
        <x:v>77</x:v>
      </x:c>
      <x:c r="F380" s="25" t="n">
        <x:f>C380/B380</x:f>
        <x:v>0</x:v>
      </x:c>
      <x:c r="G380" s="23" t="str">
        <x:f>IF(B380&gt;$B$5,"Yes","No")</x:f>
        <x:v>Yes</x:v>
      </x:c>
      <x:c r="H380" s="23" t="str">
        <x:f>IF(F380&gt;$B$4,"Yes","No")</x:f>
        <x:v>No</x:v>
      </x:c>
      <x:c r="I380" s="23" t="str">
        <x:f>IF(AND(G380="Yes",H380="Yes"),"Top-right","Other")</x:f>
        <x:v>Other</x:v>
      </x:c>
    </x:row>
    <x:row r="381">
      <x:c r="A381" s="23" t="str">
        <x:v>Roob, Conn and Tremblay</x:v>
      </x:c>
      <x:c r="B381" s="24" t="n">
        <x:v>77</x:v>
      </x:c>
      <x:c r="C381" s="24" t="n">
        <x:v>1</x:v>
      </x:c>
      <x:c r="D381" s="26" t="n">
        <x:v>900.08</x:v>
      </x:c>
      <x:c r="E381" s="24" t="n">
        <x:f>B381-C381</x:f>
        <x:v>76</x:v>
      </x:c>
      <x:c r="F381" s="25" t="n">
        <x:f>C381/B381</x:f>
        <x:v>0.012987012987012988</x:v>
      </x:c>
      <x:c r="G381" s="23" t="str">
        <x:f>IF(B381&gt;$B$5,"Yes","No")</x:f>
        <x:v>Yes</x:v>
      </x:c>
      <x:c r="H381" s="23" t="str">
        <x:f>IF(F381&gt;$B$4,"Yes","No")</x:f>
        <x:v>Yes</x:v>
      </x:c>
      <x:c r="I381" s="23" t="str">
        <x:f>IF(AND(G381="Yes",H381="Yes"),"Top-right","Other")</x:f>
        <x:v>Top-right</x:v>
      </x:c>
    </x:row>
    <x:row r="382">
      <x:c r="A382" s="23" t="str">
        <x:v>Skiles LLC</x:v>
      </x:c>
      <x:c r="B382" s="24" t="n">
        <x:v>77</x:v>
      </x:c>
      <x:c r="C382" s="24" t="n">
        <x:v>1</x:v>
      </x:c>
      <x:c r="D382" s="26" t="n">
        <x:v>218.02</x:v>
      </x:c>
      <x:c r="E382" s="24" t="n">
        <x:f>B382-C382</x:f>
        <x:v>76</x:v>
      </x:c>
      <x:c r="F382" s="25" t="n">
        <x:f>C382/B382</x:f>
        <x:v>0.012987012987012988</x:v>
      </x:c>
      <x:c r="G382" s="23" t="str">
        <x:f>IF(B382&gt;$B$5,"Yes","No")</x:f>
        <x:v>Yes</x:v>
      </x:c>
      <x:c r="H382" s="23" t="str">
        <x:f>IF(F382&gt;$B$4,"Yes","No")</x:f>
        <x:v>Yes</x:v>
      </x:c>
      <x:c r="I382" s="23" t="str">
        <x:f>IF(AND(G382="Yes",H382="Yes"),"Top-right","Other")</x:f>
        <x:v>Top-right</x:v>
      </x:c>
    </x:row>
    <x:row r="383">
      <x:c r="A383" s="23" t="str">
        <x:v>Stoltenberg-Beatty</x:v>
      </x:c>
      <x:c r="B383" s="24" t="n">
        <x:v>77</x:v>
      </x:c>
      <x:c r="C383" s="24" t="n">
        <x:v>3</x:v>
      </x:c>
      <x:c r="D383" s="26" t="n">
        <x:v>2605.51</x:v>
      </x:c>
      <x:c r="E383" s="24" t="n">
        <x:f>B383-C383</x:f>
        <x:v>74</x:v>
      </x:c>
      <x:c r="F383" s="25" t="n">
        <x:f>C383/B383</x:f>
        <x:v>0.03896103896103896</x:v>
      </x:c>
      <x:c r="G383" s="23" t="str">
        <x:f>IF(B383&gt;$B$5,"Yes","No")</x:f>
        <x:v>Yes</x:v>
      </x:c>
      <x:c r="H383" s="23" t="str">
        <x:f>IF(F383&gt;$B$4,"Yes","No")</x:f>
        <x:v>Yes</x:v>
      </x:c>
      <x:c r="I383" s="23" t="str">
        <x:f>IF(AND(G383="Yes",H383="Yes"),"Top-right","Other")</x:f>
        <x:v>Top-right</x:v>
      </x:c>
    </x:row>
    <x:row r="384">
      <x:c r="A384" s="23" t="str">
        <x:v>Berge LLC</x:v>
      </x:c>
      <x:c r="B384" s="24" t="n">
        <x:v>78</x:v>
      </x:c>
      <x:c r="C384" s="24" t="n">
        <x:v>0</x:v>
      </x:c>
      <x:c r="D384" s="26" t="n">
        <x:v>0</x:v>
      </x:c>
      <x:c r="E384" s="24" t="n">
        <x:f>B384-C384</x:f>
        <x:v>78</x:v>
      </x:c>
      <x:c r="F384" s="25" t="n">
        <x:f>C384/B384</x:f>
        <x:v>0</x:v>
      </x:c>
      <x:c r="G384" s="23" t="str">
        <x:f>IF(B384&gt;$B$5,"Yes","No")</x:f>
        <x:v>Yes</x:v>
      </x:c>
      <x:c r="H384" s="23" t="str">
        <x:f>IF(F384&gt;$B$4,"Yes","No")</x:f>
        <x:v>No</x:v>
      </x:c>
      <x:c r="I384" s="23" t="str">
        <x:f>IF(AND(G384="Yes",H384="Yes"),"Top-right","Other")</x:f>
        <x:v>Other</x:v>
      </x:c>
    </x:row>
    <x:row r="385">
      <x:c r="A385" s="23" t="str">
        <x:v>Douglas, Schneider and Turner</x:v>
      </x:c>
      <x:c r="B385" s="24" t="n">
        <x:v>78</x:v>
      </x:c>
      <x:c r="C385" s="24" t="n">
        <x:v>1</x:v>
      </x:c>
      <x:c r="D385" s="26" t="n">
        <x:v>780.81</x:v>
      </x:c>
      <x:c r="E385" s="24" t="n">
        <x:f>B385-C385</x:f>
        <x:v>77</x:v>
      </x:c>
      <x:c r="F385" s="25" t="n">
        <x:f>C385/B385</x:f>
        <x:v>0.01282051282051282</x:v>
      </x:c>
      <x:c r="G385" s="23" t="str">
        <x:f>IF(B385&gt;$B$5,"Yes","No")</x:f>
        <x:v>Yes</x:v>
      </x:c>
      <x:c r="H385" s="23" t="str">
        <x:f>IF(F385&gt;$B$4,"Yes","No")</x:f>
        <x:v>Yes</x:v>
      </x:c>
      <x:c r="I385" s="23" t="str">
        <x:f>IF(AND(G385="Yes",H385="Yes"),"Top-right","Other")</x:f>
        <x:v>Top-right</x:v>
      </x:c>
    </x:row>
    <x:row r="386">
      <x:c r="A386" s="23" t="str">
        <x:v>Durgan, Gislason and Spencer</x:v>
      </x:c>
      <x:c r="B386" s="24" t="n">
        <x:v>78</x:v>
      </x:c>
      <x:c r="C386" s="24" t="n">
        <x:v>0</x:v>
      </x:c>
      <x:c r="D386" s="26" t="n">
        <x:v>0</x:v>
      </x:c>
      <x:c r="E386" s="24" t="n">
        <x:f>B386-C386</x:f>
        <x:v>78</x:v>
      </x:c>
      <x:c r="F386" s="25" t="n">
        <x:f>C386/B386</x:f>
        <x:v>0</x:v>
      </x:c>
      <x:c r="G386" s="23" t="str">
        <x:f>IF(B386&gt;$B$5,"Yes","No")</x:f>
        <x:v>Yes</x:v>
      </x:c>
      <x:c r="H386" s="23" t="str">
        <x:f>IF(F386&gt;$B$4,"Yes","No")</x:f>
        <x:v>No</x:v>
      </x:c>
      <x:c r="I386" s="23" t="str">
        <x:f>IF(AND(G386="Yes",H386="Yes"),"Top-right","Other")</x:f>
        <x:v>Other</x:v>
      </x:c>
    </x:row>
    <x:row r="387">
      <x:c r="A387" s="23" t="str">
        <x:v>Gulgowski LLC</x:v>
      </x:c>
      <x:c r="B387" s="24" t="n">
        <x:v>78</x:v>
      </x:c>
      <x:c r="C387" s="24" t="n">
        <x:v>0</x:v>
      </x:c>
      <x:c r="D387" s="26" t="n">
        <x:v>0</x:v>
      </x:c>
      <x:c r="E387" s="24" t="n">
        <x:f>B387-C387</x:f>
        <x:v>78</x:v>
      </x:c>
      <x:c r="F387" s="25" t="n">
        <x:f>C387/B387</x:f>
        <x:v>0</x:v>
      </x:c>
      <x:c r="G387" s="23" t="str">
        <x:f>IF(B387&gt;$B$5,"Yes","No")</x:f>
        <x:v>Yes</x:v>
      </x:c>
      <x:c r="H387" s="23" t="str">
        <x:f>IF(F387&gt;$B$4,"Yes","No")</x:f>
        <x:v>No</x:v>
      </x:c>
      <x:c r="I387" s="23" t="str">
        <x:f>IF(AND(G387="Yes",H387="Yes"),"Top-right","Other")</x:f>
        <x:v>Other</x:v>
      </x:c>
    </x:row>
    <x:row r="388">
      <x:c r="A388" s="23" t="str">
        <x:v>Hermann and Sons</x:v>
      </x:c>
      <x:c r="B388" s="24" t="n">
        <x:v>78</x:v>
      </x:c>
      <x:c r="C388" s="24" t="n">
        <x:v>0</x:v>
      </x:c>
      <x:c r="D388" s="26" t="n">
        <x:v>0</x:v>
      </x:c>
      <x:c r="E388" s="24" t="n">
        <x:f>B388-C388</x:f>
        <x:v>78</x:v>
      </x:c>
      <x:c r="F388" s="25" t="n">
        <x:f>C388/B388</x:f>
        <x:v>0</x:v>
      </x:c>
      <x:c r="G388" s="23" t="str">
        <x:f>IF(B388&gt;$B$5,"Yes","No")</x:f>
        <x:v>Yes</x:v>
      </x:c>
      <x:c r="H388" s="23" t="str">
        <x:f>IF(F388&gt;$B$4,"Yes","No")</x:f>
        <x:v>No</x:v>
      </x:c>
      <x:c r="I388" s="23" t="str">
        <x:f>IF(AND(G388="Yes",H388="Yes"),"Top-right","Other")</x:f>
        <x:v>Other</x:v>
      </x:c>
    </x:row>
    <x:row r="389">
      <x:c r="A389" s="23" t="str">
        <x:v>Kiehn-Emmerich</x:v>
      </x:c>
      <x:c r="B389" s="24" t="n">
        <x:v>78</x:v>
      </x:c>
      <x:c r="C389" s="24" t="n">
        <x:v>1</x:v>
      </x:c>
      <x:c r="D389" s="26" t="n">
        <x:v>299.41</x:v>
      </x:c>
      <x:c r="E389" s="24" t="n">
        <x:f>B389-C389</x:f>
        <x:v>77</x:v>
      </x:c>
      <x:c r="F389" s="25" t="n">
        <x:f>C389/B389</x:f>
        <x:v>0.01282051282051282</x:v>
      </x:c>
      <x:c r="G389" s="23" t="str">
        <x:f>IF(B389&gt;$B$5,"Yes","No")</x:f>
        <x:v>Yes</x:v>
      </x:c>
      <x:c r="H389" s="23" t="str">
        <x:f>IF(F389&gt;$B$4,"Yes","No")</x:f>
        <x:v>Yes</x:v>
      </x:c>
      <x:c r="I389" s="23" t="str">
        <x:f>IF(AND(G389="Yes",H389="Yes"),"Top-right","Other")</x:f>
        <x:v>Top-right</x:v>
      </x:c>
    </x:row>
    <x:row r="390">
      <x:c r="A390" s="23" t="str">
        <x:v>O'Connell, Botsford and Hand</x:v>
      </x:c>
      <x:c r="B390" s="24" t="n">
        <x:v>78</x:v>
      </x:c>
      <x:c r="C390" s="24" t="n">
        <x:v>0</x:v>
      </x:c>
      <x:c r="D390" s="26" t="n">
        <x:v>0</x:v>
      </x:c>
      <x:c r="E390" s="24" t="n">
        <x:f>B390-C390</x:f>
        <x:v>78</x:v>
      </x:c>
      <x:c r="F390" s="25" t="n">
        <x:f>C390/B390</x:f>
        <x:v>0</x:v>
      </x:c>
      <x:c r="G390" s="23" t="str">
        <x:f>IF(B390&gt;$B$5,"Yes","No")</x:f>
        <x:v>Yes</x:v>
      </x:c>
      <x:c r="H390" s="23" t="str">
        <x:f>IF(F390&gt;$B$4,"Yes","No")</x:f>
        <x:v>No</x:v>
      </x:c>
      <x:c r="I390" s="23" t="str">
        <x:f>IF(AND(G390="Yes",H390="Yes"),"Top-right","Other")</x:f>
        <x:v>Other</x:v>
      </x:c>
    </x:row>
    <x:row r="391">
      <x:c r="A391" s="23" t="str">
        <x:v>Ruecker-Mayert</x:v>
      </x:c>
      <x:c r="B391" s="24" t="n">
        <x:v>78</x:v>
      </x:c>
      <x:c r="C391" s="24" t="n">
        <x:v>0</x:v>
      </x:c>
      <x:c r="D391" s="26" t="n">
        <x:v>0</x:v>
      </x:c>
      <x:c r="E391" s="24" t="n">
        <x:f>B391-C391</x:f>
        <x:v>78</x:v>
      </x:c>
      <x:c r="F391" s="25" t="n">
        <x:f>C391/B391</x:f>
        <x:v>0</x:v>
      </x:c>
      <x:c r="G391" s="23" t="str">
        <x:f>IF(B391&gt;$B$5,"Yes","No")</x:f>
        <x:v>Yes</x:v>
      </x:c>
      <x:c r="H391" s="23" t="str">
        <x:f>IF(F391&gt;$B$4,"Yes","No")</x:f>
        <x:v>No</x:v>
      </x:c>
      <x:c r="I391" s="23" t="str">
        <x:f>IF(AND(G391="Yes",H391="Yes"),"Top-right","Other")</x:f>
        <x:v>Other</x:v>
      </x:c>
    </x:row>
    <x:row r="392">
      <x:c r="A392" s="23" t="str">
        <x:v>Schaefer, Fay and Hilll</x:v>
      </x:c>
      <x:c r="B392" s="24" t="n">
        <x:v>78</x:v>
      </x:c>
      <x:c r="C392" s="24" t="n">
        <x:v>0</x:v>
      </x:c>
      <x:c r="D392" s="26" t="n">
        <x:v>0</x:v>
      </x:c>
      <x:c r="E392" s="24" t="n">
        <x:f>B392-C392</x:f>
        <x:v>78</x:v>
      </x:c>
      <x:c r="F392" s="25" t="n">
        <x:f>C392/B392</x:f>
        <x:v>0</x:v>
      </x:c>
      <x:c r="G392" s="23" t="str">
        <x:f>IF(B392&gt;$B$5,"Yes","No")</x:f>
        <x:v>Yes</x:v>
      </x:c>
      <x:c r="H392" s="23" t="str">
        <x:f>IF(F392&gt;$B$4,"Yes","No")</x:f>
        <x:v>No</x:v>
      </x:c>
      <x:c r="I392" s="23" t="str">
        <x:f>IF(AND(G392="Yes",H392="Yes"),"Top-right","Other")</x:f>
        <x:v>Other</x:v>
      </x:c>
    </x:row>
    <x:row r="393">
      <x:c r="A393" s="23" t="str">
        <x:v>Schiller Ltd</x:v>
      </x:c>
      <x:c r="B393" s="24" t="n">
        <x:v>78</x:v>
      </x:c>
      <x:c r="C393" s="24" t="n">
        <x:v>0</x:v>
      </x:c>
      <x:c r="D393" s="26" t="n">
        <x:v>0</x:v>
      </x:c>
      <x:c r="E393" s="24" t="n">
        <x:f>B393-C393</x:f>
        <x:v>78</x:v>
      </x:c>
      <x:c r="F393" s="25" t="n">
        <x:f>C393/B393</x:f>
        <x:v>0</x:v>
      </x:c>
      <x:c r="G393" s="23" t="str">
        <x:f>IF(B393&gt;$B$5,"Yes","No")</x:f>
        <x:v>Yes</x:v>
      </x:c>
      <x:c r="H393" s="23" t="str">
        <x:f>IF(F393&gt;$B$4,"Yes","No")</x:f>
        <x:v>No</x:v>
      </x:c>
      <x:c r="I393" s="23" t="str">
        <x:f>IF(AND(G393="Yes",H393="Yes"),"Top-right","Other")</x:f>
        <x:v>Other</x:v>
      </x:c>
    </x:row>
    <x:row r="394">
      <x:c r="A394" s="23" t="str">
        <x:v>Weber, Thiel and Hammes</x:v>
      </x:c>
      <x:c r="B394" s="24" t="n">
        <x:v>78</x:v>
      </x:c>
      <x:c r="C394" s="24" t="n">
        <x:v>0</x:v>
      </x:c>
      <x:c r="D394" s="26" t="n">
        <x:v>0</x:v>
      </x:c>
      <x:c r="E394" s="24" t="n">
        <x:f>B394-C394</x:f>
        <x:v>78</x:v>
      </x:c>
      <x:c r="F394" s="25" t="n">
        <x:f>C394/B394</x:f>
        <x:v>0</x:v>
      </x:c>
      <x:c r="G394" s="23" t="str">
        <x:f>IF(B394&gt;$B$5,"Yes","No")</x:f>
        <x:v>Yes</x:v>
      </x:c>
      <x:c r="H394" s="23" t="str">
        <x:f>IF(F394&gt;$B$4,"Yes","No")</x:f>
        <x:v>No</x:v>
      </x:c>
      <x:c r="I394" s="23" t="str">
        <x:f>IF(AND(G394="Yes",H394="Yes"),"Top-right","Other")</x:f>
        <x:v>Other</x:v>
      </x:c>
    </x:row>
    <x:row r="395">
      <x:c r="A395" s="23" t="str">
        <x:v>Weimann, Kuhic and Beahan</x:v>
      </x:c>
      <x:c r="B395" s="24" t="n">
        <x:v>78</x:v>
      </x:c>
      <x:c r="C395" s="24" t="n">
        <x:v>0</x:v>
      </x:c>
      <x:c r="D395" s="26" t="n">
        <x:v>0</x:v>
      </x:c>
      <x:c r="E395" s="24" t="n">
        <x:f>B395-C395</x:f>
        <x:v>78</x:v>
      </x:c>
      <x:c r="F395" s="25" t="n">
        <x:f>C395/B395</x:f>
        <x:v>0</x:v>
      </x:c>
      <x:c r="G395" s="23" t="str">
        <x:f>IF(B395&gt;$B$5,"Yes","No")</x:f>
        <x:v>Yes</x:v>
      </x:c>
      <x:c r="H395" s="23" t="str">
        <x:f>IF(F395&gt;$B$4,"Yes","No")</x:f>
        <x:v>No</x:v>
      </x:c>
      <x:c r="I395" s="23" t="str">
        <x:f>IF(AND(G395="Yes",H395="Yes"),"Top-right","Other")</x:f>
        <x:v>Other</x:v>
      </x:c>
    </x:row>
    <x:row r="396">
      <x:c r="A396" s="23" t="str">
        <x:v>Windler, Goodwin and Kovacek</x:v>
      </x:c>
      <x:c r="B396" s="24" t="n">
        <x:v>78</x:v>
      </x:c>
      <x:c r="C396" s="24" t="n">
        <x:v>0</x:v>
      </x:c>
      <x:c r="D396" s="26" t="n">
        <x:v>0</x:v>
      </x:c>
      <x:c r="E396" s="24" t="n">
        <x:f>B396-C396</x:f>
        <x:v>78</x:v>
      </x:c>
      <x:c r="F396" s="25" t="n">
        <x:f>C396/B396</x:f>
        <x:v>0</x:v>
      </x:c>
      <x:c r="G396" s="23" t="str">
        <x:f>IF(B396&gt;$B$5,"Yes","No")</x:f>
        <x:v>Yes</x:v>
      </x:c>
      <x:c r="H396" s="23" t="str">
        <x:f>IF(F396&gt;$B$4,"Yes","No")</x:f>
        <x:v>No</x:v>
      </x:c>
      <x:c r="I396" s="23" t="str">
        <x:f>IF(AND(G396="Yes",H396="Yes"),"Top-right","Other")</x:f>
        <x:v>Other</x:v>
      </x:c>
    </x:row>
    <x:row r="397">
      <x:c r="A397" s="23" t="str">
        <x:v>Wolf Inc</x:v>
      </x:c>
      <x:c r="B397" s="24" t="n">
        <x:v>78</x:v>
      </x:c>
      <x:c r="C397" s="24" t="n">
        <x:v>0</x:v>
      </x:c>
      <x:c r="D397" s="26" t="n">
        <x:v>0</x:v>
      </x:c>
      <x:c r="E397" s="24" t="n">
        <x:f>B397-C397</x:f>
        <x:v>78</x:v>
      </x:c>
      <x:c r="F397" s="25" t="n">
        <x:f>C397/B397</x:f>
        <x:v>0</x:v>
      </x:c>
      <x:c r="G397" s="23" t="str">
        <x:f>IF(B397&gt;$B$5,"Yes","No")</x:f>
        <x:v>Yes</x:v>
      </x:c>
      <x:c r="H397" s="23" t="str">
        <x:f>IF(F397&gt;$B$4,"Yes","No")</x:f>
        <x:v>No</x:v>
      </x:c>
      <x:c r="I397" s="23" t="str">
        <x:f>IF(AND(G397="Yes",H397="Yes"),"Top-right","Other")</x:f>
        <x:v>Other</x:v>
      </x:c>
    </x:row>
    <x:row r="398">
      <x:c r="A398" s="23" t="str">
        <x:v>Wuckert, Wintheiser and Friesen</x:v>
      </x:c>
      <x:c r="B398" s="24" t="n">
        <x:v>78</x:v>
      </x:c>
      <x:c r="C398" s="24" t="n">
        <x:v>1</x:v>
      </x:c>
      <x:c r="D398" s="26" t="n">
        <x:v>250.51</x:v>
      </x:c>
      <x:c r="E398" s="24" t="n">
        <x:f>B398-C398</x:f>
        <x:v>77</x:v>
      </x:c>
      <x:c r="F398" s="25" t="n">
        <x:f>C398/B398</x:f>
        <x:v>0.01282051282051282</x:v>
      </x:c>
      <x:c r="G398" s="23" t="str">
        <x:f>IF(B398&gt;$B$5,"Yes","No")</x:f>
        <x:v>Yes</x:v>
      </x:c>
      <x:c r="H398" s="23" t="str">
        <x:f>IF(F398&gt;$B$4,"Yes","No")</x:f>
        <x:v>Yes</x:v>
      </x:c>
      <x:c r="I398" s="23" t="str">
        <x:f>IF(AND(G398="Yes",H398="Yes"),"Top-right","Other")</x:f>
        <x:v>Top-right</x:v>
      </x:c>
    </x:row>
    <x:row r="399">
      <x:c r="A399" s="23" t="str">
        <x:v>Cole PLC</x:v>
      </x:c>
      <x:c r="B399" s="24" t="n">
        <x:v>79</x:v>
      </x:c>
      <x:c r="C399" s="24" t="n">
        <x:v>0</x:v>
      </x:c>
      <x:c r="D399" s="26" t="n">
        <x:v>0</x:v>
      </x:c>
      <x:c r="E399" s="24" t="n">
        <x:f>B399-C399</x:f>
        <x:v>79</x:v>
      </x:c>
      <x:c r="F399" s="25" t="n">
        <x:f>C399/B399</x:f>
        <x:v>0</x:v>
      </x:c>
      <x:c r="G399" s="23" t="str">
        <x:f>IF(B399&gt;$B$5,"Yes","No")</x:f>
        <x:v>Yes</x:v>
      </x:c>
      <x:c r="H399" s="23" t="str">
        <x:f>IF(F399&gt;$B$4,"Yes","No")</x:f>
        <x:v>No</x:v>
      </x:c>
      <x:c r="I399" s="23" t="str">
        <x:f>IF(AND(G399="Yes",H399="Yes"),"Top-right","Other")</x:f>
        <x:v>Other</x:v>
      </x:c>
    </x:row>
    <x:row r="400">
      <x:c r="A400" s="23" t="str">
        <x:v>Crist, Jakubowski and Littel</x:v>
      </x:c>
      <x:c r="B400" s="24" t="n">
        <x:v>79</x:v>
      </x:c>
      <x:c r="C400" s="24" t="n">
        <x:v>0</x:v>
      </x:c>
      <x:c r="D400" s="26" t="n">
        <x:v>0</x:v>
      </x:c>
      <x:c r="E400" s="24" t="n">
        <x:f>B400-C400</x:f>
        <x:v>79</x:v>
      </x:c>
      <x:c r="F400" s="25" t="n">
        <x:f>C400/B400</x:f>
        <x:v>0</x:v>
      </x:c>
      <x:c r="G400" s="23" t="str">
        <x:f>IF(B400&gt;$B$5,"Yes","No")</x:f>
        <x:v>Yes</x:v>
      </x:c>
      <x:c r="H400" s="23" t="str">
        <x:f>IF(F400&gt;$B$4,"Yes","No")</x:f>
        <x:v>No</x:v>
      </x:c>
      <x:c r="I400" s="23" t="str">
        <x:f>IF(AND(G400="Yes",H400="Yes"),"Top-right","Other")</x:f>
        <x:v>Other</x:v>
      </x:c>
    </x:row>
    <x:row r="401">
      <x:c r="A401" s="23" t="str">
        <x:v>Gleason and Sons</x:v>
      </x:c>
      <x:c r="B401" s="24" t="n">
        <x:v>79</x:v>
      </x:c>
      <x:c r="C401" s="24" t="n">
        <x:v>0</x:v>
      </x:c>
      <x:c r="D401" s="26" t="n">
        <x:v>0</x:v>
      </x:c>
      <x:c r="E401" s="24" t="n">
        <x:f>B401-C401</x:f>
        <x:v>79</x:v>
      </x:c>
      <x:c r="F401" s="25" t="n">
        <x:f>C401/B401</x:f>
        <x:v>0</x:v>
      </x:c>
      <x:c r="G401" s="23" t="str">
        <x:f>IF(B401&gt;$B$5,"Yes","No")</x:f>
        <x:v>Yes</x:v>
      </x:c>
      <x:c r="H401" s="23" t="str">
        <x:f>IF(F401&gt;$B$4,"Yes","No")</x:f>
        <x:v>No</x:v>
      </x:c>
      <x:c r="I401" s="23" t="str">
        <x:f>IF(AND(G401="Yes",H401="Yes"),"Top-right","Other")</x:f>
        <x:v>Other</x:v>
      </x:c>
    </x:row>
    <x:row r="402">
      <x:c r="A402" s="23" t="str">
        <x:v>Jacobi and Sons</x:v>
      </x:c>
      <x:c r="B402" s="24" t="n">
        <x:v>79</x:v>
      </x:c>
      <x:c r="C402" s="24" t="n">
        <x:v>0</x:v>
      </x:c>
      <x:c r="D402" s="26" t="n">
        <x:v>0</x:v>
      </x:c>
      <x:c r="E402" s="24" t="n">
        <x:f>B402-C402</x:f>
        <x:v>79</x:v>
      </x:c>
      <x:c r="F402" s="25" t="n">
        <x:f>C402/B402</x:f>
        <x:v>0</x:v>
      </x:c>
      <x:c r="G402" s="23" t="str">
        <x:f>IF(B402&gt;$B$5,"Yes","No")</x:f>
        <x:v>Yes</x:v>
      </x:c>
      <x:c r="H402" s="23" t="str">
        <x:f>IF(F402&gt;$B$4,"Yes","No")</x:f>
        <x:v>No</x:v>
      </x:c>
      <x:c r="I402" s="23" t="str">
        <x:f>IF(AND(G402="Yes",H402="Yes"),"Top-right","Other")</x:f>
        <x:v>Other</x:v>
      </x:c>
    </x:row>
    <x:row r="403">
      <x:c r="A403" s="23" t="str">
        <x:v>Jewess LLC</x:v>
      </x:c>
      <x:c r="B403" s="24" t="n">
        <x:v>79</x:v>
      </x:c>
      <x:c r="C403" s="24" t="n">
        <x:v>1</x:v>
      </x:c>
      <x:c r="D403" s="26" t="n">
        <x:v>1028.72</x:v>
      </x:c>
      <x:c r="E403" s="24" t="n">
        <x:f>B403-C403</x:f>
        <x:v>78</x:v>
      </x:c>
      <x:c r="F403" s="25" t="n">
        <x:f>C403/B403</x:f>
        <x:v>0.012658227848101266</x:v>
      </x:c>
      <x:c r="G403" s="23" t="str">
        <x:f>IF(B403&gt;$B$5,"Yes","No")</x:f>
        <x:v>Yes</x:v>
      </x:c>
      <x:c r="H403" s="23" t="str">
        <x:f>IF(F403&gt;$B$4,"Yes","No")</x:f>
        <x:v>Yes</x:v>
      </x:c>
      <x:c r="I403" s="23" t="str">
        <x:f>IF(AND(G403="Yes",H403="Yes"),"Top-right","Other")</x:f>
        <x:v>Top-right</x:v>
      </x:c>
    </x:row>
    <x:row r="404">
      <x:c r="A404" s="23" t="str">
        <x:v>Kutch and Sons</x:v>
      </x:c>
      <x:c r="B404" s="24" t="n">
        <x:v>79</x:v>
      </x:c>
      <x:c r="C404" s="24" t="n">
        <x:v>0</x:v>
      </x:c>
      <x:c r="D404" s="26" t="n">
        <x:v>0</x:v>
      </x:c>
      <x:c r="E404" s="24" t="n">
        <x:f>B404-C404</x:f>
        <x:v>79</x:v>
      </x:c>
      <x:c r="F404" s="25" t="n">
        <x:f>C404/B404</x:f>
        <x:v>0</x:v>
      </x:c>
      <x:c r="G404" s="23" t="str">
        <x:f>IF(B404&gt;$B$5,"Yes","No")</x:f>
        <x:v>Yes</x:v>
      </x:c>
      <x:c r="H404" s="23" t="str">
        <x:f>IF(F404&gt;$B$4,"Yes","No")</x:f>
        <x:v>No</x:v>
      </x:c>
      <x:c r="I404" s="23" t="str">
        <x:f>IF(AND(G404="Yes",H404="Yes"),"Top-right","Other")</x:f>
        <x:v>Other</x:v>
      </x:c>
    </x:row>
    <x:row r="405">
      <x:c r="A405" s="23" t="str">
        <x:v>Lockman, West and Runte</x:v>
      </x:c>
      <x:c r="B405" s="24" t="n">
        <x:v>79</x:v>
      </x:c>
      <x:c r="C405" s="24" t="n">
        <x:v>2</x:v>
      </x:c>
      <x:c r="D405" s="26" t="n">
        <x:v>630.72</x:v>
      </x:c>
      <x:c r="E405" s="24" t="n">
        <x:f>B405-C405</x:f>
        <x:v>77</x:v>
      </x:c>
      <x:c r="F405" s="25" t="n">
        <x:f>C405/B405</x:f>
        <x:v>0.02531645569620253</x:v>
      </x:c>
      <x:c r="G405" s="23" t="str">
        <x:f>IF(B405&gt;$B$5,"Yes","No")</x:f>
        <x:v>Yes</x:v>
      </x:c>
      <x:c r="H405" s="23" t="str">
        <x:f>IF(F405&gt;$B$4,"Yes","No")</x:f>
        <x:v>Yes</x:v>
      </x:c>
      <x:c r="I405" s="23" t="str">
        <x:f>IF(AND(G405="Yes",H405="Yes"),"Top-right","Other")</x:f>
        <x:v>Top-right</x:v>
      </x:c>
    </x:row>
    <x:row r="406">
      <x:c r="A406" s="23" t="str">
        <x:v>Mayert Group</x:v>
      </x:c>
      <x:c r="B406" s="24" t="n">
        <x:v>79</x:v>
      </x:c>
      <x:c r="C406" s="24" t="n">
        <x:v>0</x:v>
      </x:c>
      <x:c r="D406" s="26" t="n">
        <x:v>0</x:v>
      </x:c>
      <x:c r="E406" s="24" t="n">
        <x:f>B406-C406</x:f>
        <x:v>79</x:v>
      </x:c>
      <x:c r="F406" s="25" t="n">
        <x:f>C406/B406</x:f>
        <x:v>0</x:v>
      </x:c>
      <x:c r="G406" s="23" t="str">
        <x:f>IF(B406&gt;$B$5,"Yes","No")</x:f>
        <x:v>Yes</x:v>
      </x:c>
      <x:c r="H406" s="23" t="str">
        <x:f>IF(F406&gt;$B$4,"Yes","No")</x:f>
        <x:v>No</x:v>
      </x:c>
      <x:c r="I406" s="23" t="str">
        <x:f>IF(AND(G406="Yes",H406="Yes"),"Top-right","Other")</x:f>
        <x:v>Other</x:v>
      </x:c>
    </x:row>
    <x:row r="407">
      <x:c r="A407" s="23" t="str">
        <x:v>Nolan-Williamson</x:v>
      </x:c>
      <x:c r="B407" s="24" t="n">
        <x:v>79</x:v>
      </x:c>
      <x:c r="C407" s="24" t="n">
        <x:v>0</x:v>
      </x:c>
      <x:c r="D407" s="26" t="n">
        <x:v>0</x:v>
      </x:c>
      <x:c r="E407" s="24" t="n">
        <x:f>B407-C407</x:f>
        <x:v>79</x:v>
      </x:c>
      <x:c r="F407" s="25" t="n">
        <x:f>C407/B407</x:f>
        <x:v>0</x:v>
      </x:c>
      <x:c r="G407" s="23" t="str">
        <x:f>IF(B407&gt;$B$5,"Yes","No")</x:f>
        <x:v>Yes</x:v>
      </x:c>
      <x:c r="H407" s="23" t="str">
        <x:f>IF(F407&gt;$B$4,"Yes","No")</x:f>
        <x:v>No</x:v>
      </x:c>
      <x:c r="I407" s="23" t="str">
        <x:f>IF(AND(G407="Yes",H407="Yes"),"Top-right","Other")</x:f>
        <x:v>Other</x:v>
      </x:c>
    </x:row>
    <x:row r="408">
      <x:c r="A408" s="23" t="str">
        <x:v>Ruecker, Beer and Collier</x:v>
      </x:c>
      <x:c r="B408" s="24" t="n">
        <x:v>79</x:v>
      </x:c>
      <x:c r="C408" s="24" t="n">
        <x:v>1</x:v>
      </x:c>
      <x:c r="D408" s="26" t="n">
        <x:v>1044.1</x:v>
      </x:c>
      <x:c r="E408" s="24" t="n">
        <x:f>B408-C408</x:f>
        <x:v>78</x:v>
      </x:c>
      <x:c r="F408" s="25" t="n">
        <x:f>C408/B408</x:f>
        <x:v>0.012658227848101266</x:v>
      </x:c>
      <x:c r="G408" s="23" t="str">
        <x:f>IF(B408&gt;$B$5,"Yes","No")</x:f>
        <x:v>Yes</x:v>
      </x:c>
      <x:c r="H408" s="23" t="str">
        <x:f>IF(F408&gt;$B$4,"Yes","No")</x:f>
        <x:v>Yes</x:v>
      </x:c>
      <x:c r="I408" s="23" t="str">
        <x:f>IF(AND(G408="Yes",H408="Yes"),"Top-right","Other")</x:f>
        <x:v>Top-right</x:v>
      </x:c>
    </x:row>
    <x:row r="409">
      <x:c r="A409" s="23" t="str">
        <x:v>Schaefer, Maggio and Daugherty</x:v>
      </x:c>
      <x:c r="B409" s="24" t="n">
        <x:v>79</x:v>
      </x:c>
      <x:c r="C409" s="24" t="n">
        <x:v>0</x:v>
      </x:c>
      <x:c r="D409" s="26" t="n">
        <x:v>0</x:v>
      </x:c>
      <x:c r="E409" s="24" t="n">
        <x:f>B409-C409</x:f>
        <x:v>79</x:v>
      </x:c>
      <x:c r="F409" s="25" t="n">
        <x:f>C409/B409</x:f>
        <x:v>0</x:v>
      </x:c>
      <x:c r="G409" s="23" t="str">
        <x:f>IF(B409&gt;$B$5,"Yes","No")</x:f>
        <x:v>Yes</x:v>
      </x:c>
      <x:c r="H409" s="23" t="str">
        <x:f>IF(F409&gt;$B$4,"Yes","No")</x:f>
        <x:v>No</x:v>
      </x:c>
      <x:c r="I409" s="23" t="str">
        <x:f>IF(AND(G409="Yes",H409="Yes"),"Top-right","Other")</x:f>
        <x:v>Other</x:v>
      </x:c>
    </x:row>
    <x:row r="410">
      <x:c r="A410" s="23" t="str">
        <x:v>Waelchi-Wolf</x:v>
      </x:c>
      <x:c r="B410" s="24" t="n">
        <x:v>79</x:v>
      </x:c>
      <x:c r="C410" s="24" t="n">
        <x:v>0</x:v>
      </x:c>
      <x:c r="D410" s="26" t="n">
        <x:v>0</x:v>
      </x:c>
      <x:c r="E410" s="24" t="n">
        <x:f>B410-C410</x:f>
        <x:v>79</x:v>
      </x:c>
      <x:c r="F410" s="25" t="n">
        <x:f>C410/B410</x:f>
        <x:v>0</x:v>
      </x:c>
      <x:c r="G410" s="23" t="str">
        <x:f>IF(B410&gt;$B$5,"Yes","No")</x:f>
        <x:v>Yes</x:v>
      </x:c>
      <x:c r="H410" s="23" t="str">
        <x:f>IF(F410&gt;$B$4,"Yes","No")</x:f>
        <x:v>No</x:v>
      </x:c>
      <x:c r="I410" s="23" t="str">
        <x:f>IF(AND(G410="Yes",H410="Yes"),"Top-right","Other")</x:f>
        <x:v>Other</x:v>
      </x:c>
    </x:row>
    <x:row r="411">
      <x:c r="A411" s="23" t="str">
        <x:v>Bernier and Sons</x:v>
      </x:c>
      <x:c r="B411" s="24" t="n">
        <x:v>80</x:v>
      </x:c>
      <x:c r="C411" s="24" t="n">
        <x:v>0</x:v>
      </x:c>
      <x:c r="D411" s="26" t="n">
        <x:v>0</x:v>
      </x:c>
      <x:c r="E411" s="24" t="n">
        <x:f>B411-C411</x:f>
        <x:v>80</x:v>
      </x:c>
      <x:c r="F411" s="25" t="n">
        <x:f>C411/B411</x:f>
        <x:v>0</x:v>
      </x:c>
      <x:c r="G411" s="23" t="str">
        <x:f>IF(B411&gt;$B$5,"Yes","No")</x:f>
        <x:v>Yes</x:v>
      </x:c>
      <x:c r="H411" s="23" t="str">
        <x:f>IF(F411&gt;$B$4,"Yes","No")</x:f>
        <x:v>No</x:v>
      </x:c>
      <x:c r="I411" s="23" t="str">
        <x:f>IF(AND(G411="Yes",H411="Yes"),"Top-right","Other")</x:f>
        <x:v>Other</x:v>
      </x:c>
    </x:row>
    <x:row r="412">
      <x:c r="A412" s="23" t="str">
        <x:v>Cummings LLC</x:v>
      </x:c>
      <x:c r="B412" s="24" t="n">
        <x:v>80</x:v>
      </x:c>
      <x:c r="C412" s="24" t="n">
        <x:v>0</x:v>
      </x:c>
      <x:c r="D412" s="26" t="n">
        <x:v>0</x:v>
      </x:c>
      <x:c r="E412" s="24" t="n">
        <x:f>B412-C412</x:f>
        <x:v>80</x:v>
      </x:c>
      <x:c r="F412" s="25" t="n">
        <x:f>C412/B412</x:f>
        <x:v>0</x:v>
      </x:c>
      <x:c r="G412" s="23" t="str">
        <x:f>IF(B412&gt;$B$5,"Yes","No")</x:f>
        <x:v>Yes</x:v>
      </x:c>
      <x:c r="H412" s="23" t="str">
        <x:f>IF(F412&gt;$B$4,"Yes","No")</x:f>
        <x:v>No</x:v>
      </x:c>
      <x:c r="I412" s="23" t="str">
        <x:f>IF(AND(G412="Yes",H412="Yes"),"Top-right","Other")</x:f>
        <x:v>Other</x:v>
      </x:c>
    </x:row>
    <x:row r="413">
      <x:c r="A413" s="23" t="str">
        <x:v>Ledner-Pfannerstill</x:v>
      </x:c>
      <x:c r="B413" s="24" t="n">
        <x:v>80</x:v>
      </x:c>
      <x:c r="C413" s="24" t="n">
        <x:v>1</x:v>
      </x:c>
      <x:c r="D413" s="26" t="n">
        <x:v>11.76</x:v>
      </x:c>
      <x:c r="E413" s="24" t="n">
        <x:f>B413-C413</x:f>
        <x:v>79</x:v>
      </x:c>
      <x:c r="F413" s="25" t="n">
        <x:f>C413/B413</x:f>
        <x:v>0.0125</x:v>
      </x:c>
      <x:c r="G413" s="23" t="str">
        <x:f>IF(B413&gt;$B$5,"Yes","No")</x:f>
        <x:v>Yes</x:v>
      </x:c>
      <x:c r="H413" s="23" t="str">
        <x:f>IF(F413&gt;$B$4,"Yes","No")</x:f>
        <x:v>Yes</x:v>
      </x:c>
      <x:c r="I413" s="23" t="str">
        <x:f>IF(AND(G413="Yes",H413="Yes"),"Top-right","Other")</x:f>
        <x:v>Top-right</x:v>
      </x:c>
    </x:row>
    <x:row r="414">
      <x:c r="A414" s="23" t="str">
        <x:v>Reilly LLC</x:v>
      </x:c>
      <x:c r="B414" s="24" t="n">
        <x:v>80</x:v>
      </x:c>
      <x:c r="C414" s="24" t="n">
        <x:v>0</x:v>
      </x:c>
      <x:c r="D414" s="26" t="n">
        <x:v>0</x:v>
      </x:c>
      <x:c r="E414" s="24" t="n">
        <x:f>B414-C414</x:f>
        <x:v>80</x:v>
      </x:c>
      <x:c r="F414" s="25" t="n">
        <x:f>C414/B414</x:f>
        <x:v>0</x:v>
      </x:c>
      <x:c r="G414" s="23" t="str">
        <x:f>IF(B414&gt;$B$5,"Yes","No")</x:f>
        <x:v>Yes</x:v>
      </x:c>
      <x:c r="H414" s="23" t="str">
        <x:f>IF(F414&gt;$B$4,"Yes","No")</x:f>
        <x:v>No</x:v>
      </x:c>
      <x:c r="I414" s="23" t="str">
        <x:f>IF(AND(G414="Yes",H414="Yes"),"Top-right","Other")</x:f>
        <x:v>Other</x:v>
      </x:c>
    </x:row>
    <x:row r="415">
      <x:c r="A415" s="23" t="str">
        <x:v>Schaefer, McGlynn and Bosco</x:v>
      </x:c>
      <x:c r="B415" s="24" t="n">
        <x:v>80</x:v>
      </x:c>
      <x:c r="C415" s="24" t="n">
        <x:v>2</x:v>
      </x:c>
      <x:c r="D415" s="26" t="n">
        <x:v>17.34</x:v>
      </x:c>
      <x:c r="E415" s="24" t="n">
        <x:f>B415-C415</x:f>
        <x:v>78</x:v>
      </x:c>
      <x:c r="F415" s="25" t="n">
        <x:f>C415/B415</x:f>
        <x:v>0.025</x:v>
      </x:c>
      <x:c r="G415" s="23" t="str">
        <x:f>IF(B415&gt;$B$5,"Yes","No")</x:f>
        <x:v>Yes</x:v>
      </x:c>
      <x:c r="H415" s="23" t="str">
        <x:f>IF(F415&gt;$B$4,"Yes","No")</x:f>
        <x:v>Yes</x:v>
      </x:c>
      <x:c r="I415" s="23" t="str">
        <x:f>IF(AND(G415="Yes",H415="Yes"),"Top-right","Other")</x:f>
        <x:v>Top-right</x:v>
      </x:c>
    </x:row>
    <x:row r="416">
      <x:c r="A416" s="23" t="str">
        <x:v>Weimann-Lockman</x:v>
      </x:c>
      <x:c r="B416" s="24" t="n">
        <x:v>80</x:v>
      </x:c>
      <x:c r="C416" s="24" t="n">
        <x:v>0</x:v>
      </x:c>
      <x:c r="D416" s="26" t="n">
        <x:v>0</x:v>
      </x:c>
      <x:c r="E416" s="24" t="n">
        <x:f>B416-C416</x:f>
        <x:v>80</x:v>
      </x:c>
      <x:c r="F416" s="25" t="n">
        <x:f>C416/B416</x:f>
        <x:v>0</x:v>
      </x:c>
      <x:c r="G416" s="23" t="str">
        <x:f>IF(B416&gt;$B$5,"Yes","No")</x:f>
        <x:v>Yes</x:v>
      </x:c>
      <x:c r="H416" s="23" t="str">
        <x:f>IF(F416&gt;$B$4,"Yes","No")</x:f>
        <x:v>No</x:v>
      </x:c>
      <x:c r="I416" s="23" t="str">
        <x:f>IF(AND(G416="Yes",H416="Yes"),"Top-right","Other")</x:f>
        <x:v>Other</x:v>
      </x:c>
    </x:row>
    <x:row r="417">
      <x:c r="A417" s="23" t="str">
        <x:v>Beer-Jast</x:v>
      </x:c>
      <x:c r="B417" s="24" t="n">
        <x:v>81</x:v>
      </x:c>
      <x:c r="C417" s="24" t="n">
        <x:v>0</x:v>
      </x:c>
      <x:c r="D417" s="26" t="n">
        <x:v>0</x:v>
      </x:c>
      <x:c r="E417" s="24" t="n">
        <x:f>B417-C417</x:f>
        <x:v>81</x:v>
      </x:c>
      <x:c r="F417" s="25" t="n">
        <x:f>C417/B417</x:f>
        <x:v>0</x:v>
      </x:c>
      <x:c r="G417" s="23" t="str">
        <x:f>IF(B417&gt;$B$5,"Yes","No")</x:f>
        <x:v>Yes</x:v>
      </x:c>
      <x:c r="H417" s="23" t="str">
        <x:f>IF(F417&gt;$B$4,"Yes","No")</x:f>
        <x:v>No</x:v>
      </x:c>
      <x:c r="I417" s="23" t="str">
        <x:f>IF(AND(G417="Yes",H417="Yes"),"Top-right","Other")</x:f>
        <x:v>Other</x:v>
      </x:c>
    </x:row>
    <x:row r="418">
      <x:c r="A418" s="23" t="str">
        <x:v>Bode-Rempel</x:v>
      </x:c>
      <x:c r="B418" s="24" t="n">
        <x:v>81</x:v>
      </x:c>
      <x:c r="C418" s="24" t="n">
        <x:v>0</x:v>
      </x:c>
      <x:c r="D418" s="26" t="n">
        <x:v>0</x:v>
      </x:c>
      <x:c r="E418" s="24" t="n">
        <x:f>B418-C418</x:f>
        <x:v>81</x:v>
      </x:c>
      <x:c r="F418" s="25" t="n">
        <x:f>C418/B418</x:f>
        <x:v>0</x:v>
      </x:c>
      <x:c r="G418" s="23" t="str">
        <x:f>IF(B418&gt;$B$5,"Yes","No")</x:f>
        <x:v>Yes</x:v>
      </x:c>
      <x:c r="H418" s="23" t="str">
        <x:f>IF(F418&gt;$B$4,"Yes","No")</x:f>
        <x:v>No</x:v>
      </x:c>
      <x:c r="I418" s="23" t="str">
        <x:f>IF(AND(G418="Yes",H418="Yes"),"Top-right","Other")</x:f>
        <x:v>Other</x:v>
      </x:c>
    </x:row>
    <x:row r="419">
      <x:c r="A419" s="23" t="str">
        <x:v>Casper, Hand and Zulauf</x:v>
      </x:c>
      <x:c r="B419" s="24" t="n">
        <x:v>81</x:v>
      </x:c>
      <x:c r="C419" s="24" t="n">
        <x:v>1</x:v>
      </x:c>
      <x:c r="D419" s="26" t="n">
        <x:v>303.25</x:v>
      </x:c>
      <x:c r="E419" s="24" t="n">
        <x:f>B419-C419</x:f>
        <x:v>80</x:v>
      </x:c>
      <x:c r="F419" s="25" t="n">
        <x:f>C419/B419</x:f>
        <x:v>0.012345679012345678</x:v>
      </x:c>
      <x:c r="G419" s="23" t="str">
        <x:f>IF(B419&gt;$B$5,"Yes","No")</x:f>
        <x:v>Yes</x:v>
      </x:c>
      <x:c r="H419" s="23" t="str">
        <x:f>IF(F419&gt;$B$4,"Yes","No")</x:f>
        <x:v>Yes</x:v>
      </x:c>
      <x:c r="I419" s="23" t="str">
        <x:f>IF(AND(G419="Yes",H419="Yes"),"Top-right","Other")</x:f>
        <x:v>Top-right</x:v>
      </x:c>
    </x:row>
    <x:row r="420">
      <x:c r="A420" s="23" t="str">
        <x:v>Gaylord-Powlowski</x:v>
      </x:c>
      <x:c r="B420" s="24" t="n">
        <x:v>81</x:v>
      </x:c>
      <x:c r="C420" s="24" t="n">
        <x:v>0</x:v>
      </x:c>
      <x:c r="D420" s="26" t="n">
        <x:v>0</x:v>
      </x:c>
      <x:c r="E420" s="24" t="n">
        <x:f>B420-C420</x:f>
        <x:v>81</x:v>
      </x:c>
      <x:c r="F420" s="25" t="n">
        <x:f>C420/B420</x:f>
        <x:v>0</x:v>
      </x:c>
      <x:c r="G420" s="23" t="str">
        <x:f>IF(B420&gt;$B$5,"Yes","No")</x:f>
        <x:v>Yes</x:v>
      </x:c>
      <x:c r="H420" s="23" t="str">
        <x:f>IF(F420&gt;$B$4,"Yes","No")</x:f>
        <x:v>No</x:v>
      </x:c>
      <x:c r="I420" s="23" t="str">
        <x:f>IF(AND(G420="Yes",H420="Yes"),"Top-right","Other")</x:f>
        <x:v>Other</x:v>
      </x:c>
    </x:row>
    <x:row r="421">
      <x:c r="A421" s="23" t="str">
        <x:v>Gerhold LLC</x:v>
      </x:c>
      <x:c r="B421" s="24" t="n">
        <x:v>81</x:v>
      </x:c>
      <x:c r="C421" s="24" t="n">
        <x:v>0</x:v>
      </x:c>
      <x:c r="D421" s="26" t="n">
        <x:v>0</x:v>
      </x:c>
      <x:c r="E421" s="24" t="n">
        <x:f>B421-C421</x:f>
        <x:v>81</x:v>
      </x:c>
      <x:c r="F421" s="25" t="n">
        <x:f>C421/B421</x:f>
        <x:v>0</x:v>
      </x:c>
      <x:c r="G421" s="23" t="str">
        <x:f>IF(B421&gt;$B$5,"Yes","No")</x:f>
        <x:v>Yes</x:v>
      </x:c>
      <x:c r="H421" s="23" t="str">
        <x:f>IF(F421&gt;$B$4,"Yes","No")</x:f>
        <x:v>No</x:v>
      </x:c>
      <x:c r="I421" s="23" t="str">
        <x:f>IF(AND(G421="Yes",H421="Yes"),"Top-right","Other")</x:f>
        <x:v>Other</x:v>
      </x:c>
    </x:row>
    <x:row r="422">
      <x:c r="A422" s="23" t="str">
        <x:v>Jast-McDermott</x:v>
      </x:c>
      <x:c r="B422" s="24" t="n">
        <x:v>81</x:v>
      </x:c>
      <x:c r="C422" s="24" t="n">
        <x:v>0</x:v>
      </x:c>
      <x:c r="D422" s="26" t="n">
        <x:v>0</x:v>
      </x:c>
      <x:c r="E422" s="24" t="n">
        <x:f>B422-C422</x:f>
        <x:v>81</x:v>
      </x:c>
      <x:c r="F422" s="25" t="n">
        <x:f>C422/B422</x:f>
        <x:v>0</x:v>
      </x:c>
      <x:c r="G422" s="23" t="str">
        <x:f>IF(B422&gt;$B$5,"Yes","No")</x:f>
        <x:v>Yes</x:v>
      </x:c>
      <x:c r="H422" s="23" t="str">
        <x:f>IF(F422&gt;$B$4,"Yes","No")</x:f>
        <x:v>No</x:v>
      </x:c>
      <x:c r="I422" s="23" t="str">
        <x:f>IF(AND(G422="Yes",H422="Yes"),"Top-right","Other")</x:f>
        <x:v>Other</x:v>
      </x:c>
    </x:row>
    <x:row r="423">
      <x:c r="A423" s="23" t="str">
        <x:v>Kunze Inc</x:v>
      </x:c>
      <x:c r="B423" s="24" t="n">
        <x:v>81</x:v>
      </x:c>
      <x:c r="C423" s="24" t="n">
        <x:v>2</x:v>
      </x:c>
      <x:c r="D423" s="26" t="n">
        <x:v>645.02</x:v>
      </x:c>
      <x:c r="E423" s="24" t="n">
        <x:f>B423-C423</x:f>
        <x:v>79</x:v>
      </x:c>
      <x:c r="F423" s="25" t="n">
        <x:f>C423/B423</x:f>
        <x:v>0.024691358024691357</x:v>
      </x:c>
      <x:c r="G423" s="23" t="str">
        <x:f>IF(B423&gt;$B$5,"Yes","No")</x:f>
        <x:v>Yes</x:v>
      </x:c>
      <x:c r="H423" s="23" t="str">
        <x:f>IF(F423&gt;$B$4,"Yes","No")</x:f>
        <x:v>Yes</x:v>
      </x:c>
      <x:c r="I423" s="23" t="str">
        <x:f>IF(AND(G423="Yes",H423="Yes"),"Top-right","Other")</x:f>
        <x:v>Top-right</x:v>
      </x:c>
    </x:row>
    <x:row r="424">
      <x:c r="A424" s="23" t="str">
        <x:v>Kutch LLC</x:v>
      </x:c>
      <x:c r="B424" s="24" t="n">
        <x:v>81</x:v>
      </x:c>
      <x:c r="C424" s="24" t="n">
        <x:v>0</x:v>
      </x:c>
      <x:c r="D424" s="26" t="n">
        <x:v>0</x:v>
      </x:c>
      <x:c r="E424" s="24" t="n">
        <x:f>B424-C424</x:f>
        <x:v>81</x:v>
      </x:c>
      <x:c r="F424" s="25" t="n">
        <x:f>C424/B424</x:f>
        <x:v>0</x:v>
      </x:c>
      <x:c r="G424" s="23" t="str">
        <x:f>IF(B424&gt;$B$5,"Yes","No")</x:f>
        <x:v>Yes</x:v>
      </x:c>
      <x:c r="H424" s="23" t="str">
        <x:f>IF(F424&gt;$B$4,"Yes","No")</x:f>
        <x:v>No</x:v>
      </x:c>
      <x:c r="I424" s="23" t="str">
        <x:f>IF(AND(G424="Yes",H424="Yes"),"Top-right","Other")</x:f>
        <x:v>Other</x:v>
      </x:c>
    </x:row>
    <x:row r="425">
      <x:c r="A425" s="23" t="str">
        <x:v>Padberg-Sauer</x:v>
      </x:c>
      <x:c r="B425" s="24" t="n">
        <x:v>81</x:v>
      </x:c>
      <x:c r="C425" s="24" t="n">
        <x:v>0</x:v>
      </x:c>
      <x:c r="D425" s="26" t="n">
        <x:v>0</x:v>
      </x:c>
      <x:c r="E425" s="24" t="n">
        <x:f>B425-C425</x:f>
        <x:v>81</x:v>
      </x:c>
      <x:c r="F425" s="25" t="n">
        <x:f>C425/B425</x:f>
        <x:v>0</x:v>
      </x:c>
      <x:c r="G425" s="23" t="str">
        <x:f>IF(B425&gt;$B$5,"Yes","No")</x:f>
        <x:v>Yes</x:v>
      </x:c>
      <x:c r="H425" s="23" t="str">
        <x:f>IF(F425&gt;$B$4,"Yes","No")</x:f>
        <x:v>No</x:v>
      </x:c>
      <x:c r="I425" s="23" t="str">
        <x:f>IF(AND(G425="Yes",H425="Yes"),"Top-right","Other")</x:f>
        <x:v>Other</x:v>
      </x:c>
    </x:row>
    <x:row r="426">
      <x:c r="A426" s="23" t="str">
        <x:v>Stark-Koss</x:v>
      </x:c>
      <x:c r="B426" s="24" t="n">
        <x:v>81</x:v>
      </x:c>
      <x:c r="C426" s="24" t="n">
        <x:v>0</x:v>
      </x:c>
      <x:c r="D426" s="26" t="n">
        <x:v>0</x:v>
      </x:c>
      <x:c r="E426" s="24" t="n">
        <x:f>B426-C426</x:f>
        <x:v>81</x:v>
      </x:c>
      <x:c r="F426" s="25" t="n">
        <x:f>C426/B426</x:f>
        <x:v>0</x:v>
      </x:c>
      <x:c r="G426" s="23" t="str">
        <x:f>IF(B426&gt;$B$5,"Yes","No")</x:f>
        <x:v>Yes</x:v>
      </x:c>
      <x:c r="H426" s="23" t="str">
        <x:f>IF(F426&gt;$B$4,"Yes","No")</x:f>
        <x:v>No</x:v>
      </x:c>
      <x:c r="I426" s="23" t="str">
        <x:f>IF(AND(G426="Yes",H426="Yes"),"Top-right","Other")</x:f>
        <x:v>Other</x:v>
      </x:c>
    </x:row>
    <x:row r="427">
      <x:c r="A427" s="23" t="str">
        <x:v>Vandervort-Funk</x:v>
      </x:c>
      <x:c r="B427" s="24" t="n">
        <x:v>81</x:v>
      </x:c>
      <x:c r="C427" s="24" t="n">
        <x:v>3</x:v>
      </x:c>
      <x:c r="D427" s="26" t="n">
        <x:v>896.6699999999998</x:v>
      </x:c>
      <x:c r="E427" s="24" t="n">
        <x:f>B427-C427</x:f>
        <x:v>78</x:v>
      </x:c>
      <x:c r="F427" s="25" t="n">
        <x:f>C427/B427</x:f>
        <x:v>0.037037037037037035</x:v>
      </x:c>
      <x:c r="G427" s="23" t="str">
        <x:f>IF(B427&gt;$B$5,"Yes","No")</x:f>
        <x:v>Yes</x:v>
      </x:c>
      <x:c r="H427" s="23" t="str">
        <x:f>IF(F427&gt;$B$4,"Yes","No")</x:f>
        <x:v>Yes</x:v>
      </x:c>
      <x:c r="I427" s="23" t="str">
        <x:f>IF(AND(G427="Yes",H427="Yes"),"Top-right","Other")</x:f>
        <x:v>Top-right</x:v>
      </x:c>
    </x:row>
    <x:row r="428">
      <x:c r="A428" s="23" t="str">
        <x:v>Bauch-Raynor</x:v>
      </x:c>
      <x:c r="B428" s="24" t="n">
        <x:v>82</x:v>
      </x:c>
      <x:c r="C428" s="24" t="n">
        <x:v>1</x:v>
      </x:c>
      <x:c r="D428" s="26" t="n">
        <x:v>310.79</x:v>
      </x:c>
      <x:c r="E428" s="24" t="n">
        <x:f>B428-C428</x:f>
        <x:v>81</x:v>
      </x:c>
      <x:c r="F428" s="25" t="n">
        <x:f>C428/B428</x:f>
        <x:v>0.012195121951219513</x:v>
      </x:c>
      <x:c r="G428" s="23" t="str">
        <x:f>IF(B428&gt;$B$5,"Yes","No")</x:f>
        <x:v>Yes</x:v>
      </x:c>
      <x:c r="H428" s="23" t="str">
        <x:f>IF(F428&gt;$B$4,"Yes","No")</x:f>
        <x:v>Yes</x:v>
      </x:c>
      <x:c r="I428" s="23" t="str">
        <x:f>IF(AND(G428="Yes",H428="Yes"),"Top-right","Other")</x:f>
        <x:v>Top-right</x:v>
      </x:c>
    </x:row>
    <x:row r="429">
      <x:c r="A429" s="23" t="str">
        <x:v>Collier LLC</x:v>
      </x:c>
      <x:c r="B429" s="24" t="n">
        <x:v>82</x:v>
      </x:c>
      <x:c r="C429" s="24" t="n">
        <x:v>0</x:v>
      </x:c>
      <x:c r="D429" s="26" t="n">
        <x:v>0</x:v>
      </x:c>
      <x:c r="E429" s="24" t="n">
        <x:f>B429-C429</x:f>
        <x:v>82</x:v>
      </x:c>
      <x:c r="F429" s="25" t="n">
        <x:f>C429/B429</x:f>
        <x:v>0</x:v>
      </x:c>
      <x:c r="G429" s="23" t="str">
        <x:f>IF(B429&gt;$B$5,"Yes","No")</x:f>
        <x:v>Yes</x:v>
      </x:c>
      <x:c r="H429" s="23" t="str">
        <x:f>IF(F429&gt;$B$4,"Yes","No")</x:f>
        <x:v>No</x:v>
      </x:c>
      <x:c r="I429" s="23" t="str">
        <x:f>IF(AND(G429="Yes",H429="Yes"),"Top-right","Other")</x:f>
        <x:v>Other</x:v>
      </x:c>
    </x:row>
    <x:row r="430">
      <x:c r="A430" s="23" t="str">
        <x:v>Cummerata-Jones</x:v>
      </x:c>
      <x:c r="B430" s="24" t="n">
        <x:v>82</x:v>
      </x:c>
      <x:c r="C430" s="24" t="n">
        <x:v>0</x:v>
      </x:c>
      <x:c r="D430" s="26" t="n">
        <x:v>0</x:v>
      </x:c>
      <x:c r="E430" s="24" t="n">
        <x:f>B430-C430</x:f>
        <x:v>82</x:v>
      </x:c>
      <x:c r="F430" s="25" t="n">
        <x:f>C430/B430</x:f>
        <x:v>0</x:v>
      </x:c>
      <x:c r="G430" s="23" t="str">
        <x:f>IF(B430&gt;$B$5,"Yes","No")</x:f>
        <x:v>Yes</x:v>
      </x:c>
      <x:c r="H430" s="23" t="str">
        <x:f>IF(F430&gt;$B$4,"Yes","No")</x:f>
        <x:v>No</x:v>
      </x:c>
      <x:c r="I430" s="23" t="str">
        <x:f>IF(AND(G430="Yes",H430="Yes"),"Top-right","Other")</x:f>
        <x:v>Other</x:v>
      </x:c>
    </x:row>
    <x:row r="431">
      <x:c r="A431" s="23" t="str">
        <x:v>Friesen-D'Amore</x:v>
      </x:c>
      <x:c r="B431" s="24" t="n">
        <x:v>82</x:v>
      </x:c>
      <x:c r="C431" s="24" t="n">
        <x:v>0</x:v>
      </x:c>
      <x:c r="D431" s="26" t="n">
        <x:v>0</x:v>
      </x:c>
      <x:c r="E431" s="24" t="n">
        <x:f>B431-C431</x:f>
        <x:v>82</x:v>
      </x:c>
      <x:c r="F431" s="25" t="n">
        <x:f>C431/B431</x:f>
        <x:v>0</x:v>
      </x:c>
      <x:c r="G431" s="23" t="str">
        <x:f>IF(B431&gt;$B$5,"Yes","No")</x:f>
        <x:v>Yes</x:v>
      </x:c>
      <x:c r="H431" s="23" t="str">
        <x:f>IF(F431&gt;$B$4,"Yes","No")</x:f>
        <x:v>No</x:v>
      </x:c>
      <x:c r="I431" s="23" t="str">
        <x:f>IF(AND(G431="Yes",H431="Yes"),"Top-right","Other")</x:f>
        <x:v>Other</x:v>
      </x:c>
    </x:row>
    <x:row r="432">
      <x:c r="A432" s="23" t="str">
        <x:v>Hudson-Ratke</x:v>
      </x:c>
      <x:c r="B432" s="24" t="n">
        <x:v>82</x:v>
      </x:c>
      <x:c r="C432" s="24" t="n">
        <x:v>2</x:v>
      </x:c>
      <x:c r="D432" s="26" t="n">
        <x:v>593.05</x:v>
      </x:c>
      <x:c r="E432" s="24" t="n">
        <x:f>B432-C432</x:f>
        <x:v>80</x:v>
      </x:c>
      <x:c r="F432" s="25" t="n">
        <x:f>C432/B432</x:f>
        <x:v>0.024390243902439025</x:v>
      </x:c>
      <x:c r="G432" s="23" t="str">
        <x:f>IF(B432&gt;$B$5,"Yes","No")</x:f>
        <x:v>Yes</x:v>
      </x:c>
      <x:c r="H432" s="23" t="str">
        <x:f>IF(F432&gt;$B$4,"Yes","No")</x:f>
        <x:v>Yes</x:v>
      </x:c>
      <x:c r="I432" s="23" t="str">
        <x:f>IF(AND(G432="Yes",H432="Yes"),"Top-right","Other")</x:f>
        <x:v>Top-right</x:v>
      </x:c>
    </x:row>
    <x:row r="433">
      <x:c r="A433" s="23" t="str">
        <x:v>Huels-Nolan</x:v>
      </x:c>
      <x:c r="B433" s="24" t="n">
        <x:v>82</x:v>
      </x:c>
      <x:c r="C433" s="24" t="n">
        <x:v>0</x:v>
      </x:c>
      <x:c r="D433" s="26" t="n">
        <x:v>0</x:v>
      </x:c>
      <x:c r="E433" s="24" t="n">
        <x:f>B433-C433</x:f>
        <x:v>82</x:v>
      </x:c>
      <x:c r="F433" s="25" t="n">
        <x:f>C433/B433</x:f>
        <x:v>0</x:v>
      </x:c>
      <x:c r="G433" s="23" t="str">
        <x:f>IF(B433&gt;$B$5,"Yes","No")</x:f>
        <x:v>Yes</x:v>
      </x:c>
      <x:c r="H433" s="23" t="str">
        <x:f>IF(F433&gt;$B$4,"Yes","No")</x:f>
        <x:v>No</x:v>
      </x:c>
      <x:c r="I433" s="23" t="str">
        <x:f>IF(AND(G433="Yes",H433="Yes"),"Top-right","Other")</x:f>
        <x:v>Other</x:v>
      </x:c>
    </x:row>
    <x:row r="434">
      <x:c r="A434" s="23" t="str">
        <x:v>Kris-Padberg</x:v>
      </x:c>
      <x:c r="B434" s="24" t="n">
        <x:v>82</x:v>
      </x:c>
      <x:c r="C434" s="24" t="n">
        <x:v>0</x:v>
      </x:c>
      <x:c r="D434" s="26" t="n">
        <x:v>0</x:v>
      </x:c>
      <x:c r="E434" s="24" t="n">
        <x:f>B434-C434</x:f>
        <x:v>82</x:v>
      </x:c>
      <x:c r="F434" s="25" t="n">
        <x:f>C434/B434</x:f>
        <x:v>0</x:v>
      </x:c>
      <x:c r="G434" s="23" t="str">
        <x:f>IF(B434&gt;$B$5,"Yes","No")</x:f>
        <x:v>Yes</x:v>
      </x:c>
      <x:c r="H434" s="23" t="str">
        <x:f>IF(F434&gt;$B$4,"Yes","No")</x:f>
        <x:v>No</x:v>
      </x:c>
      <x:c r="I434" s="23" t="str">
        <x:f>IF(AND(G434="Yes",H434="Yes"),"Top-right","Other")</x:f>
        <x:v>Other</x:v>
      </x:c>
    </x:row>
    <x:row r="435">
      <x:c r="A435" s="23" t="str">
        <x:v>Parisian and Sons</x:v>
      </x:c>
      <x:c r="B435" s="24" t="n">
        <x:v>82</x:v>
      </x:c>
      <x:c r="C435" s="24" t="n">
        <x:v>0</x:v>
      </x:c>
      <x:c r="D435" s="26" t="n">
        <x:v>0</x:v>
      </x:c>
      <x:c r="E435" s="24" t="n">
        <x:f>B435-C435</x:f>
        <x:v>82</x:v>
      </x:c>
      <x:c r="F435" s="25" t="n">
        <x:f>C435/B435</x:f>
        <x:v>0</x:v>
      </x:c>
      <x:c r="G435" s="23" t="str">
        <x:f>IF(B435&gt;$B$5,"Yes","No")</x:f>
        <x:v>Yes</x:v>
      </x:c>
      <x:c r="H435" s="23" t="str">
        <x:f>IF(F435&gt;$B$4,"Yes","No")</x:f>
        <x:v>No</x:v>
      </x:c>
      <x:c r="I435" s="23" t="str">
        <x:f>IF(AND(G435="Yes",H435="Yes"),"Top-right","Other")</x:f>
        <x:v>Other</x:v>
      </x:c>
    </x:row>
    <x:row r="436">
      <x:c r="A436" s="23" t="str">
        <x:v>Bernhard Inc</x:v>
      </x:c>
      <x:c r="B436" s="24" t="n">
        <x:v>83</x:v>
      </x:c>
      <x:c r="C436" s="24" t="n">
        <x:v>0</x:v>
      </x:c>
      <x:c r="D436" s="26" t="n">
        <x:v>0</x:v>
      </x:c>
      <x:c r="E436" s="24" t="n">
        <x:f>B436-C436</x:f>
        <x:v>83</x:v>
      </x:c>
      <x:c r="F436" s="25" t="n">
        <x:f>C436/B436</x:f>
        <x:v>0</x:v>
      </x:c>
      <x:c r="G436" s="23" t="str">
        <x:f>IF(B436&gt;$B$5,"Yes","No")</x:f>
        <x:v>Yes</x:v>
      </x:c>
      <x:c r="H436" s="23" t="str">
        <x:f>IF(F436&gt;$B$4,"Yes","No")</x:f>
        <x:v>No</x:v>
      </x:c>
      <x:c r="I436" s="23" t="str">
        <x:f>IF(AND(G436="Yes",H436="Yes"),"Top-right","Other")</x:f>
        <x:v>Other</x:v>
      </x:c>
    </x:row>
    <x:row r="437">
      <x:c r="A437" s="23" t="str">
        <x:v>Botsford and Sons</x:v>
      </x:c>
      <x:c r="B437" s="24" t="n">
        <x:v>83</x:v>
      </x:c>
      <x:c r="C437" s="24" t="n">
        <x:v>0</x:v>
      </x:c>
      <x:c r="D437" s="26" t="n">
        <x:v>0</x:v>
      </x:c>
      <x:c r="E437" s="24" t="n">
        <x:f>B437-C437</x:f>
        <x:v>83</x:v>
      </x:c>
      <x:c r="F437" s="25" t="n">
        <x:f>C437/B437</x:f>
        <x:v>0</x:v>
      </x:c>
      <x:c r="G437" s="23" t="str">
        <x:f>IF(B437&gt;$B$5,"Yes","No")</x:f>
        <x:v>Yes</x:v>
      </x:c>
      <x:c r="H437" s="23" t="str">
        <x:f>IF(F437&gt;$B$4,"Yes","No")</x:f>
        <x:v>No</x:v>
      </x:c>
      <x:c r="I437" s="23" t="str">
        <x:f>IF(AND(G437="Yes",H437="Yes"),"Top-right","Other")</x:f>
        <x:v>Other</x:v>
      </x:c>
    </x:row>
    <x:row r="438">
      <x:c r="A438" s="23" t="str">
        <x:v>Botsford Ltd</x:v>
      </x:c>
      <x:c r="B438" s="24" t="n">
        <x:v>83</x:v>
      </x:c>
      <x:c r="C438" s="24" t="n">
        <x:v>0</x:v>
      </x:c>
      <x:c r="D438" s="26" t="n">
        <x:v>0</x:v>
      </x:c>
      <x:c r="E438" s="24" t="n">
        <x:f>B438-C438</x:f>
        <x:v>83</x:v>
      </x:c>
      <x:c r="F438" s="25" t="n">
        <x:f>C438/B438</x:f>
        <x:v>0</x:v>
      </x:c>
      <x:c r="G438" s="23" t="str">
        <x:f>IF(B438&gt;$B$5,"Yes","No")</x:f>
        <x:v>Yes</x:v>
      </x:c>
      <x:c r="H438" s="23" t="str">
        <x:f>IF(F438&gt;$B$4,"Yes","No")</x:f>
        <x:v>No</x:v>
      </x:c>
      <x:c r="I438" s="23" t="str">
        <x:f>IF(AND(G438="Yes",H438="Yes"),"Top-right","Other")</x:f>
        <x:v>Other</x:v>
      </x:c>
    </x:row>
    <x:row r="439">
      <x:c r="A439" s="23" t="str">
        <x:v>Champlin-Casper</x:v>
      </x:c>
      <x:c r="B439" s="24" t="n">
        <x:v>83</x:v>
      </x:c>
      <x:c r="C439" s="24" t="n">
        <x:v>0</x:v>
      </x:c>
      <x:c r="D439" s="26" t="n">
        <x:v>0</x:v>
      </x:c>
      <x:c r="E439" s="24" t="n">
        <x:f>B439-C439</x:f>
        <x:v>83</x:v>
      </x:c>
      <x:c r="F439" s="25" t="n">
        <x:f>C439/B439</x:f>
        <x:v>0</x:v>
      </x:c>
      <x:c r="G439" s="23" t="str">
        <x:f>IF(B439&gt;$B$5,"Yes","No")</x:f>
        <x:v>Yes</x:v>
      </x:c>
      <x:c r="H439" s="23" t="str">
        <x:f>IF(F439&gt;$B$4,"Yes","No")</x:f>
        <x:v>No</x:v>
      </x:c>
      <x:c r="I439" s="23" t="str">
        <x:f>IF(AND(G439="Yes",H439="Yes"),"Top-right","Other")</x:f>
        <x:v>Other</x:v>
      </x:c>
    </x:row>
    <x:row r="440">
      <x:c r="A440" s="23" t="str">
        <x:v>Friesen-Stamm</x:v>
      </x:c>
      <x:c r="B440" s="24" t="n">
        <x:v>83</x:v>
      </x:c>
      <x:c r="C440" s="24" t="n">
        <x:v>0</x:v>
      </x:c>
      <x:c r="D440" s="26" t="n">
        <x:v>0</x:v>
      </x:c>
      <x:c r="E440" s="24" t="n">
        <x:f>B440-C440</x:f>
        <x:v>83</x:v>
      </x:c>
      <x:c r="F440" s="25" t="n">
        <x:f>C440/B440</x:f>
        <x:v>0</x:v>
      </x:c>
      <x:c r="G440" s="23" t="str">
        <x:f>IF(B440&gt;$B$5,"Yes","No")</x:f>
        <x:v>Yes</x:v>
      </x:c>
      <x:c r="H440" s="23" t="str">
        <x:f>IF(F440&gt;$B$4,"Yes","No")</x:f>
        <x:v>No</x:v>
      </x:c>
      <x:c r="I440" s="23" t="str">
        <x:f>IF(AND(G440="Yes",H440="Yes"),"Top-right","Other")</x:f>
        <x:v>Other</x:v>
      </x:c>
    </x:row>
    <x:row r="441">
      <x:c r="A441" s="23" t="str">
        <x:v>Gutmann, McLaughlin and Wiza</x:v>
      </x:c>
      <x:c r="B441" s="24" t="n">
        <x:v>83</x:v>
      </x:c>
      <x:c r="C441" s="24" t="n">
        <x:v>0</x:v>
      </x:c>
      <x:c r="D441" s="26" t="n">
        <x:v>0</x:v>
      </x:c>
      <x:c r="E441" s="24" t="n">
        <x:f>B441-C441</x:f>
        <x:v>83</x:v>
      </x:c>
      <x:c r="F441" s="25" t="n">
        <x:f>C441/B441</x:f>
        <x:v>0</x:v>
      </x:c>
      <x:c r="G441" s="23" t="str">
        <x:f>IF(B441&gt;$B$5,"Yes","No")</x:f>
        <x:v>Yes</x:v>
      </x:c>
      <x:c r="H441" s="23" t="str">
        <x:f>IF(F441&gt;$B$4,"Yes","No")</x:f>
        <x:v>No</x:v>
      </x:c>
      <x:c r="I441" s="23" t="str">
        <x:f>IF(AND(G441="Yes",H441="Yes"),"Top-right","Other")</x:f>
        <x:v>Other</x:v>
      </x:c>
    </x:row>
    <x:row r="442">
      <x:c r="A442" s="23" t="str">
        <x:v>Heller-Langosh</x:v>
      </x:c>
      <x:c r="B442" s="24" t="n">
        <x:v>83</x:v>
      </x:c>
      <x:c r="C442" s="24" t="n">
        <x:v>0</x:v>
      </x:c>
      <x:c r="D442" s="26" t="n">
        <x:v>0</x:v>
      </x:c>
      <x:c r="E442" s="24" t="n">
        <x:f>B442-C442</x:f>
        <x:v>83</x:v>
      </x:c>
      <x:c r="F442" s="25" t="n">
        <x:f>C442/B442</x:f>
        <x:v>0</x:v>
      </x:c>
      <x:c r="G442" s="23" t="str">
        <x:f>IF(B442&gt;$B$5,"Yes","No")</x:f>
        <x:v>Yes</x:v>
      </x:c>
      <x:c r="H442" s="23" t="str">
        <x:f>IF(F442&gt;$B$4,"Yes","No")</x:f>
        <x:v>No</x:v>
      </x:c>
      <x:c r="I442" s="23" t="str">
        <x:f>IF(AND(G442="Yes",H442="Yes"),"Top-right","Other")</x:f>
        <x:v>Other</x:v>
      </x:c>
    </x:row>
    <x:row r="443">
      <x:c r="A443" s="23" t="str">
        <x:v>Rowe, Batz and Goodwin</x:v>
      </x:c>
      <x:c r="B443" s="24" t="n">
        <x:v>83</x:v>
      </x:c>
      <x:c r="C443" s="24" t="n">
        <x:v>0</x:v>
      </x:c>
      <x:c r="D443" s="26" t="n">
        <x:v>0</x:v>
      </x:c>
      <x:c r="E443" s="24" t="n">
        <x:f>B443-C443</x:f>
        <x:v>83</x:v>
      </x:c>
      <x:c r="F443" s="25" t="n">
        <x:f>C443/B443</x:f>
        <x:v>0</x:v>
      </x:c>
      <x:c r="G443" s="23" t="str">
        <x:f>IF(B443&gt;$B$5,"Yes","No")</x:f>
        <x:v>Yes</x:v>
      </x:c>
      <x:c r="H443" s="23" t="str">
        <x:f>IF(F443&gt;$B$4,"Yes","No")</x:f>
        <x:v>No</x:v>
      </x:c>
      <x:c r="I443" s="23" t="str">
        <x:f>IF(AND(G443="Yes",H443="Yes"),"Top-right","Other")</x:f>
        <x:v>Other</x:v>
      </x:c>
    </x:row>
    <x:row r="444">
      <x:c r="A444" s="23" t="str">
        <x:v>Schamberger-O'Keefe</x:v>
      </x:c>
      <x:c r="B444" s="24" t="n">
        <x:v>83</x:v>
      </x:c>
      <x:c r="C444" s="24" t="n">
        <x:v>1</x:v>
      </x:c>
      <x:c r="D444" s="26" t="n">
        <x:v>307.97</x:v>
      </x:c>
      <x:c r="E444" s="24" t="n">
        <x:f>B444-C444</x:f>
        <x:v>82</x:v>
      </x:c>
      <x:c r="F444" s="25" t="n">
        <x:f>C444/B444</x:f>
        <x:v>0.012048192771084338</x:v>
      </x:c>
      <x:c r="G444" s="23" t="str">
        <x:f>IF(B444&gt;$B$5,"Yes","No")</x:f>
        <x:v>Yes</x:v>
      </x:c>
      <x:c r="H444" s="23" t="str">
        <x:f>IF(F444&gt;$B$4,"Yes","No")</x:f>
        <x:v>Yes</x:v>
      </x:c>
      <x:c r="I444" s="23" t="str">
        <x:f>IF(AND(G444="Yes",H444="Yes"),"Top-right","Other")</x:f>
        <x:v>Top-right</x:v>
      </x:c>
    </x:row>
    <x:row r="445">
      <x:c r="A445" s="23" t="str">
        <x:v>Strosin-Cruickshank</x:v>
      </x:c>
      <x:c r="B445" s="24" t="n">
        <x:v>83</x:v>
      </x:c>
      <x:c r="C445" s="24" t="n">
        <x:v>1</x:v>
      </x:c>
      <x:c r="D445" s="26" t="n">
        <x:v>300.93</x:v>
      </x:c>
      <x:c r="E445" s="24" t="n">
        <x:f>B445-C445</x:f>
        <x:v>82</x:v>
      </x:c>
      <x:c r="F445" s="25" t="n">
        <x:f>C445/B445</x:f>
        <x:v>0.012048192771084338</x:v>
      </x:c>
      <x:c r="G445" s="23" t="str">
        <x:f>IF(B445&gt;$B$5,"Yes","No")</x:f>
        <x:v>Yes</x:v>
      </x:c>
      <x:c r="H445" s="23" t="str">
        <x:f>IF(F445&gt;$B$4,"Yes","No")</x:f>
        <x:v>Yes</x:v>
      </x:c>
      <x:c r="I445" s="23" t="str">
        <x:f>IF(AND(G445="Yes",H445="Yes"),"Top-right","Other")</x:f>
        <x:v>Top-right</x:v>
      </x:c>
    </x:row>
    <x:row r="446">
      <x:c r="A446" s="23" t="str">
        <x:v>Swift PLC</x:v>
      </x:c>
      <x:c r="B446" s="24" t="n">
        <x:v>83</x:v>
      </x:c>
      <x:c r="C446" s="24" t="n">
        <x:v>1</x:v>
      </x:c>
      <x:c r="D446" s="26" t="n">
        <x:v>7.27</x:v>
      </x:c>
      <x:c r="E446" s="24" t="n">
        <x:f>B446-C446</x:f>
        <x:v>82</x:v>
      </x:c>
      <x:c r="F446" s="25" t="n">
        <x:f>C446/B446</x:f>
        <x:v>0.012048192771084338</x:v>
      </x:c>
      <x:c r="G446" s="23" t="str">
        <x:f>IF(B446&gt;$B$5,"Yes","No")</x:f>
        <x:v>Yes</x:v>
      </x:c>
      <x:c r="H446" s="23" t="str">
        <x:f>IF(F446&gt;$B$4,"Yes","No")</x:f>
        <x:v>Yes</x:v>
      </x:c>
      <x:c r="I446" s="23" t="str">
        <x:f>IF(AND(G446="Yes",H446="Yes"),"Top-right","Other")</x:f>
        <x:v>Top-right</x:v>
      </x:c>
    </x:row>
    <x:row r="447">
      <x:c r="A447" s="23" t="str">
        <x:v>Bahringer, Bergnaum and Quitzon</x:v>
      </x:c>
      <x:c r="B447" s="24" t="n">
        <x:v>84</x:v>
      </x:c>
      <x:c r="C447" s="24" t="n">
        <x:v>0</x:v>
      </x:c>
      <x:c r="D447" s="26" t="n">
        <x:v>0</x:v>
      </x:c>
      <x:c r="E447" s="24" t="n">
        <x:f>B447-C447</x:f>
        <x:v>84</x:v>
      </x:c>
      <x:c r="F447" s="25" t="n">
        <x:f>C447/B447</x:f>
        <x:v>0</x:v>
      </x:c>
      <x:c r="G447" s="23" t="str">
        <x:f>IF(B447&gt;$B$5,"Yes","No")</x:f>
        <x:v>Yes</x:v>
      </x:c>
      <x:c r="H447" s="23" t="str">
        <x:f>IF(F447&gt;$B$4,"Yes","No")</x:f>
        <x:v>No</x:v>
      </x:c>
      <x:c r="I447" s="23" t="str">
        <x:f>IF(AND(G447="Yes",H447="Yes"),"Top-right","Other")</x:f>
        <x:v>Other</x:v>
      </x:c>
    </x:row>
    <x:row r="448">
      <x:c r="A448" s="23" t="str">
        <x:v>Conroy-Cruickshank</x:v>
      </x:c>
      <x:c r="B448" s="24" t="n">
        <x:v>84</x:v>
      </x:c>
      <x:c r="C448" s="24" t="n">
        <x:v>1</x:v>
      </x:c>
      <x:c r="D448" s="26" t="n">
        <x:v>11.07</x:v>
      </x:c>
      <x:c r="E448" s="24" t="n">
        <x:f>B448-C448</x:f>
        <x:v>83</x:v>
      </x:c>
      <x:c r="F448" s="25" t="n">
        <x:f>C448/B448</x:f>
        <x:v>0.011904761904761904</x:v>
      </x:c>
      <x:c r="G448" s="23" t="str">
        <x:f>IF(B448&gt;$B$5,"Yes","No")</x:f>
        <x:v>Yes</x:v>
      </x:c>
      <x:c r="H448" s="23" t="str">
        <x:f>IF(F448&gt;$B$4,"Yes","No")</x:f>
        <x:v>Yes</x:v>
      </x:c>
      <x:c r="I448" s="23" t="str">
        <x:f>IF(AND(G448="Yes",H448="Yes"),"Top-right","Other")</x:f>
        <x:v>Top-right</x:v>
      </x:c>
    </x:row>
    <x:row r="449">
      <x:c r="A449" s="23" t="str">
        <x:v>Goodwin-Nitzsche</x:v>
      </x:c>
      <x:c r="B449" s="24" t="n">
        <x:v>84</x:v>
      </x:c>
      <x:c r="C449" s="24" t="n">
        <x:v>0</x:v>
      </x:c>
      <x:c r="D449" s="26" t="n">
        <x:v>0</x:v>
      </x:c>
      <x:c r="E449" s="24" t="n">
        <x:f>B449-C449</x:f>
        <x:v>84</x:v>
      </x:c>
      <x:c r="F449" s="25" t="n">
        <x:f>C449/B449</x:f>
        <x:v>0</x:v>
      </x:c>
      <x:c r="G449" s="23" t="str">
        <x:f>IF(B449&gt;$B$5,"Yes","No")</x:f>
        <x:v>Yes</x:v>
      </x:c>
      <x:c r="H449" s="23" t="str">
        <x:f>IF(F449&gt;$B$4,"Yes","No")</x:f>
        <x:v>No</x:v>
      </x:c>
      <x:c r="I449" s="23" t="str">
        <x:f>IF(AND(G449="Yes",H449="Yes"),"Top-right","Other")</x:f>
        <x:v>Other</x:v>
      </x:c>
    </x:row>
    <x:row r="450">
      <x:c r="A450" s="23" t="str">
        <x:v>Gottlieb Group</x:v>
      </x:c>
      <x:c r="B450" s="24" t="n">
        <x:v>84</x:v>
      </x:c>
      <x:c r="C450" s="24" t="n">
        <x:v>0</x:v>
      </x:c>
      <x:c r="D450" s="26" t="n">
        <x:v>0</x:v>
      </x:c>
      <x:c r="E450" s="24" t="n">
        <x:f>B450-C450</x:f>
        <x:v>84</x:v>
      </x:c>
      <x:c r="F450" s="25" t="n">
        <x:f>C450/B450</x:f>
        <x:v>0</x:v>
      </x:c>
      <x:c r="G450" s="23" t="str">
        <x:f>IF(B450&gt;$B$5,"Yes","No")</x:f>
        <x:v>Yes</x:v>
      </x:c>
      <x:c r="H450" s="23" t="str">
        <x:f>IF(F450&gt;$B$4,"Yes","No")</x:f>
        <x:v>No</x:v>
      </x:c>
      <x:c r="I450" s="23" t="str">
        <x:f>IF(AND(G450="Yes",H450="Yes"),"Top-right","Other")</x:f>
        <x:v>Other</x:v>
      </x:c>
    </x:row>
    <x:row r="451">
      <x:c r="A451" s="23" t="str">
        <x:v>Kutch-Wilderman</x:v>
      </x:c>
      <x:c r="B451" s="24" t="n">
        <x:v>84</x:v>
      </x:c>
      <x:c r="C451" s="24" t="n">
        <x:v>0</x:v>
      </x:c>
      <x:c r="D451" s="26" t="n">
        <x:v>0</x:v>
      </x:c>
      <x:c r="E451" s="24" t="n">
        <x:f>B451-C451</x:f>
        <x:v>84</x:v>
      </x:c>
      <x:c r="F451" s="25" t="n">
        <x:f>C451/B451</x:f>
        <x:v>0</x:v>
      </x:c>
      <x:c r="G451" s="23" t="str">
        <x:f>IF(B451&gt;$B$5,"Yes","No")</x:f>
        <x:v>Yes</x:v>
      </x:c>
      <x:c r="H451" s="23" t="str">
        <x:f>IF(F451&gt;$B$4,"Yes","No")</x:f>
        <x:v>No</x:v>
      </x:c>
      <x:c r="I451" s="23" t="str">
        <x:f>IF(AND(G451="Yes",H451="Yes"),"Top-right","Other")</x:f>
        <x:v>Other</x:v>
      </x:c>
    </x:row>
    <x:row r="452">
      <x:c r="A452" s="23" t="str">
        <x:v>Lubowitz-Walter</x:v>
      </x:c>
      <x:c r="B452" s="24" t="n">
        <x:v>84</x:v>
      </x:c>
      <x:c r="C452" s="24" t="n">
        <x:v>0</x:v>
      </x:c>
      <x:c r="D452" s="26" t="n">
        <x:v>0</x:v>
      </x:c>
      <x:c r="E452" s="24" t="n">
        <x:f>B452-C452</x:f>
        <x:v>84</x:v>
      </x:c>
      <x:c r="F452" s="25" t="n">
        <x:f>C452/B452</x:f>
        <x:v>0</x:v>
      </x:c>
      <x:c r="G452" s="23" t="str">
        <x:f>IF(B452&gt;$B$5,"Yes","No")</x:f>
        <x:v>Yes</x:v>
      </x:c>
      <x:c r="H452" s="23" t="str">
        <x:f>IF(F452&gt;$B$4,"Yes","No")</x:f>
        <x:v>No</x:v>
      </x:c>
      <x:c r="I452" s="23" t="str">
        <x:f>IF(AND(G452="Yes",H452="Yes"),"Top-right","Other")</x:f>
        <x:v>Other</x:v>
      </x:c>
    </x:row>
    <x:row r="453">
      <x:c r="A453" s="23" t="str">
        <x:v>Marks Inc</x:v>
      </x:c>
      <x:c r="B453" s="24" t="n">
        <x:v>84</x:v>
      </x:c>
      <x:c r="C453" s="24" t="n">
        <x:v>0</x:v>
      </x:c>
      <x:c r="D453" s="26" t="n">
        <x:v>0</x:v>
      </x:c>
      <x:c r="E453" s="24" t="n">
        <x:f>B453-C453</x:f>
        <x:v>84</x:v>
      </x:c>
      <x:c r="F453" s="25" t="n">
        <x:f>C453/B453</x:f>
        <x:v>0</x:v>
      </x:c>
      <x:c r="G453" s="23" t="str">
        <x:f>IF(B453&gt;$B$5,"Yes","No")</x:f>
        <x:v>Yes</x:v>
      </x:c>
      <x:c r="H453" s="23" t="str">
        <x:f>IF(F453&gt;$B$4,"Yes","No")</x:f>
        <x:v>No</x:v>
      </x:c>
      <x:c r="I453" s="23" t="str">
        <x:f>IF(AND(G453="Yes",H453="Yes"),"Top-right","Other")</x:f>
        <x:v>Other</x:v>
      </x:c>
    </x:row>
    <x:row r="454">
      <x:c r="A454" s="23" t="str">
        <x:v>Mosciski, Gislason and Mertz</x:v>
      </x:c>
      <x:c r="B454" s="24" t="n">
        <x:v>84</x:v>
      </x:c>
      <x:c r="C454" s="24" t="n">
        <x:v>1</x:v>
      </x:c>
      <x:c r="D454" s="26" t="n">
        <x:v>293.71</x:v>
      </x:c>
      <x:c r="E454" s="24" t="n">
        <x:f>B454-C454</x:f>
        <x:v>83</x:v>
      </x:c>
      <x:c r="F454" s="25" t="n">
        <x:f>C454/B454</x:f>
        <x:v>0.011904761904761904</x:v>
      </x:c>
      <x:c r="G454" s="23" t="str">
        <x:f>IF(B454&gt;$B$5,"Yes","No")</x:f>
        <x:v>Yes</x:v>
      </x:c>
      <x:c r="H454" s="23" t="str">
        <x:f>IF(F454&gt;$B$4,"Yes","No")</x:f>
        <x:v>Yes</x:v>
      </x:c>
      <x:c r="I454" s="23" t="str">
        <x:f>IF(AND(G454="Yes",H454="Yes"),"Top-right","Other")</x:f>
        <x:v>Top-right</x:v>
      </x:c>
    </x:row>
    <x:row r="455">
      <x:c r="A455" s="23" t="str">
        <x:v>Baumbach, Hodkiewicz and Walsh</x:v>
      </x:c>
      <x:c r="B455" s="24" t="n">
        <x:v>85</x:v>
      </x:c>
      <x:c r="C455" s="24" t="n">
        <x:v>0</x:v>
      </x:c>
      <x:c r="D455" s="26" t="n">
        <x:v>0</x:v>
      </x:c>
      <x:c r="E455" s="24" t="n">
        <x:f>B455-C455</x:f>
        <x:v>85</x:v>
      </x:c>
      <x:c r="F455" s="25" t="n">
        <x:f>C455/B455</x:f>
        <x:v>0</x:v>
      </x:c>
      <x:c r="G455" s="23" t="str">
        <x:f>IF(B455&gt;$B$5,"Yes","No")</x:f>
        <x:v>Yes</x:v>
      </x:c>
      <x:c r="H455" s="23" t="str">
        <x:f>IF(F455&gt;$B$4,"Yes","No")</x:f>
        <x:v>No</x:v>
      </x:c>
      <x:c r="I455" s="23" t="str">
        <x:f>IF(AND(G455="Yes",H455="Yes"),"Top-right","Other")</x:f>
        <x:v>Other</x:v>
      </x:c>
    </x:row>
    <x:row r="456">
      <x:c r="A456" s="23" t="str">
        <x:v>Bogisich Inc</x:v>
      </x:c>
      <x:c r="B456" s="24" t="n">
        <x:v>85</x:v>
      </x:c>
      <x:c r="C456" s="24" t="n">
        <x:v>0</x:v>
      </x:c>
      <x:c r="D456" s="26" t="n">
        <x:v>0</x:v>
      </x:c>
      <x:c r="E456" s="24" t="n">
        <x:f>B456-C456</x:f>
        <x:v>85</x:v>
      </x:c>
      <x:c r="F456" s="25" t="n">
        <x:f>C456/B456</x:f>
        <x:v>0</x:v>
      </x:c>
      <x:c r="G456" s="23" t="str">
        <x:f>IF(B456&gt;$B$5,"Yes","No")</x:f>
        <x:v>Yes</x:v>
      </x:c>
      <x:c r="H456" s="23" t="str">
        <x:f>IF(F456&gt;$B$4,"Yes","No")</x:f>
        <x:v>No</x:v>
      </x:c>
      <x:c r="I456" s="23" t="str">
        <x:f>IF(AND(G456="Yes",H456="Yes"),"Top-right","Other")</x:f>
        <x:v>Other</x:v>
      </x:c>
    </x:row>
    <x:row r="457">
      <x:c r="A457" s="23" t="str">
        <x:v>Eichmann, Bogan and Rodriguez</x:v>
      </x:c>
      <x:c r="B457" s="24" t="n">
        <x:v>85</x:v>
      </x:c>
      <x:c r="C457" s="24" t="n">
        <x:v>1</x:v>
      </x:c>
      <x:c r="D457" s="26" t="n">
        <x:v>18.85</x:v>
      </x:c>
      <x:c r="E457" s="24" t="n">
        <x:f>B457-C457</x:f>
        <x:v>84</x:v>
      </x:c>
      <x:c r="F457" s="25" t="n">
        <x:f>C457/B457</x:f>
        <x:v>0.011764705882352941</x:v>
      </x:c>
      <x:c r="G457" s="23" t="str">
        <x:f>IF(B457&gt;$B$5,"Yes","No")</x:f>
        <x:v>Yes</x:v>
      </x:c>
      <x:c r="H457" s="23" t="str">
        <x:f>IF(F457&gt;$B$4,"Yes","No")</x:f>
        <x:v>Yes</x:v>
      </x:c>
      <x:c r="I457" s="23" t="str">
        <x:f>IF(AND(G457="Yes",H457="Yes"),"Top-right","Other")</x:f>
        <x:v>Top-right</x:v>
      </x:c>
    </x:row>
    <x:row r="458">
      <x:c r="A458" s="23" t="str">
        <x:v>Jenkins, Hauck and Friesen</x:v>
      </x:c>
      <x:c r="B458" s="24" t="n">
        <x:v>85</x:v>
      </x:c>
      <x:c r="C458" s="24" t="n">
        <x:v>0</x:v>
      </x:c>
      <x:c r="D458" s="26" t="n">
        <x:v>0</x:v>
      </x:c>
      <x:c r="E458" s="24" t="n">
        <x:f>B458-C458</x:f>
        <x:v>85</x:v>
      </x:c>
      <x:c r="F458" s="25" t="n">
        <x:f>C458/B458</x:f>
        <x:v>0</x:v>
      </x:c>
      <x:c r="G458" s="23" t="str">
        <x:f>IF(B458&gt;$B$5,"Yes","No")</x:f>
        <x:v>Yes</x:v>
      </x:c>
      <x:c r="H458" s="23" t="str">
        <x:f>IF(F458&gt;$B$4,"Yes","No")</x:f>
        <x:v>No</x:v>
      </x:c>
      <x:c r="I458" s="23" t="str">
        <x:f>IF(AND(G458="Yes",H458="Yes"),"Top-right","Other")</x:f>
        <x:v>Other</x:v>
      </x:c>
    </x:row>
    <x:row r="459">
      <x:c r="A459" s="23" t="str">
        <x:v>O'Connell-Ullrich</x:v>
      </x:c>
      <x:c r="B459" s="24" t="n">
        <x:v>85</x:v>
      </x:c>
      <x:c r="C459" s="24" t="n">
        <x:v>0</x:v>
      </x:c>
      <x:c r="D459" s="26" t="n">
        <x:v>0</x:v>
      </x:c>
      <x:c r="E459" s="24" t="n">
        <x:f>B459-C459</x:f>
        <x:v>85</x:v>
      </x:c>
      <x:c r="F459" s="25" t="n">
        <x:f>C459/B459</x:f>
        <x:v>0</x:v>
      </x:c>
      <x:c r="G459" s="23" t="str">
        <x:f>IF(B459&gt;$B$5,"Yes","No")</x:f>
        <x:v>Yes</x:v>
      </x:c>
      <x:c r="H459" s="23" t="str">
        <x:f>IF(F459&gt;$B$4,"Yes","No")</x:f>
        <x:v>No</x:v>
      </x:c>
      <x:c r="I459" s="23" t="str">
        <x:f>IF(AND(G459="Yes",H459="Yes"),"Top-right","Other")</x:f>
        <x:v>Other</x:v>
      </x:c>
    </x:row>
    <x:row r="460">
      <x:c r="A460" s="23" t="str">
        <x:v>Raynor, Feest and Miller</x:v>
      </x:c>
      <x:c r="B460" s="24" t="n">
        <x:v>85</x:v>
      </x:c>
      <x:c r="C460" s="24" t="n">
        <x:v>0</x:v>
      </x:c>
      <x:c r="D460" s="26" t="n">
        <x:v>0</x:v>
      </x:c>
      <x:c r="E460" s="24" t="n">
        <x:f>B460-C460</x:f>
        <x:v>85</x:v>
      </x:c>
      <x:c r="F460" s="25" t="n">
        <x:f>C460/B460</x:f>
        <x:v>0</x:v>
      </x:c>
      <x:c r="G460" s="23" t="str">
        <x:f>IF(B460&gt;$B$5,"Yes","No")</x:f>
        <x:v>Yes</x:v>
      </x:c>
      <x:c r="H460" s="23" t="str">
        <x:f>IF(F460&gt;$B$4,"Yes","No")</x:f>
        <x:v>No</x:v>
      </x:c>
      <x:c r="I460" s="23" t="str">
        <x:f>IF(AND(G460="Yes",H460="Yes"),"Top-right","Other")</x:f>
        <x:v>Other</x:v>
      </x:c>
    </x:row>
    <x:row r="461">
      <x:c r="A461" s="23" t="str">
        <x:v>Sawayn PLC</x:v>
      </x:c>
      <x:c r="B461" s="24" t="n">
        <x:v>85</x:v>
      </x:c>
      <x:c r="C461" s="24" t="n">
        <x:v>0</x:v>
      </x:c>
      <x:c r="D461" s="26" t="n">
        <x:v>0</x:v>
      </x:c>
      <x:c r="E461" s="24" t="n">
        <x:f>B461-C461</x:f>
        <x:v>85</x:v>
      </x:c>
      <x:c r="F461" s="25" t="n">
        <x:f>C461/B461</x:f>
        <x:v>0</x:v>
      </x:c>
      <x:c r="G461" s="23" t="str">
        <x:f>IF(B461&gt;$B$5,"Yes","No")</x:f>
        <x:v>Yes</x:v>
      </x:c>
      <x:c r="H461" s="23" t="str">
        <x:f>IF(F461&gt;$B$4,"Yes","No")</x:f>
        <x:v>No</x:v>
      </x:c>
      <x:c r="I461" s="23" t="str">
        <x:f>IF(AND(G461="Yes",H461="Yes"),"Top-right","Other")</x:f>
        <x:v>Other</x:v>
      </x:c>
    </x:row>
    <x:row r="462">
      <x:c r="A462" s="23" t="str">
        <x:v>Schmitt Inc</x:v>
      </x:c>
      <x:c r="B462" s="24" t="n">
        <x:v>85</x:v>
      </x:c>
      <x:c r="C462" s="24" t="n">
        <x:v>0</x:v>
      </x:c>
      <x:c r="D462" s="26" t="n">
        <x:v>0</x:v>
      </x:c>
      <x:c r="E462" s="24" t="n">
        <x:f>B462-C462</x:f>
        <x:v>85</x:v>
      </x:c>
      <x:c r="F462" s="25" t="n">
        <x:f>C462/B462</x:f>
        <x:v>0</x:v>
      </x:c>
      <x:c r="G462" s="23" t="str">
        <x:f>IF(B462&gt;$B$5,"Yes","No")</x:f>
        <x:v>Yes</x:v>
      </x:c>
      <x:c r="H462" s="23" t="str">
        <x:f>IF(F462&gt;$B$4,"Yes","No")</x:f>
        <x:v>No</x:v>
      </x:c>
      <x:c r="I462" s="23" t="str">
        <x:f>IF(AND(G462="Yes",H462="Yes"),"Top-right","Other")</x:f>
        <x:v>Other</x:v>
      </x:c>
    </x:row>
    <x:row r="463">
      <x:c r="A463" s="23" t="str">
        <x:v>Schultz, Simonis and Little</x:v>
      </x:c>
      <x:c r="B463" s="24" t="n">
        <x:v>85</x:v>
      </x:c>
      <x:c r="C463" s="24" t="n">
        <x:v>1</x:v>
      </x:c>
      <x:c r="D463" s="26" t="n">
        <x:v>347.79</x:v>
      </x:c>
      <x:c r="E463" s="24" t="n">
        <x:f>B463-C463</x:f>
        <x:v>84</x:v>
      </x:c>
      <x:c r="F463" s="25" t="n">
        <x:f>C463/B463</x:f>
        <x:v>0.011764705882352941</x:v>
      </x:c>
      <x:c r="G463" s="23" t="str">
        <x:f>IF(B463&gt;$B$5,"Yes","No")</x:f>
        <x:v>Yes</x:v>
      </x:c>
      <x:c r="H463" s="23" t="str">
        <x:f>IF(F463&gt;$B$4,"Yes","No")</x:f>
        <x:v>Yes</x:v>
      </x:c>
      <x:c r="I463" s="23" t="str">
        <x:f>IF(AND(G463="Yes",H463="Yes"),"Top-right","Other")</x:f>
        <x:v>Top-right</x:v>
      </x:c>
    </x:row>
    <x:row r="464">
      <x:c r="A464" s="23" t="str">
        <x:v>Bailey-Morar</x:v>
      </x:c>
      <x:c r="B464" s="24" t="n">
        <x:v>86</x:v>
      </x:c>
      <x:c r="C464" s="24" t="n">
        <x:v>1</x:v>
      </x:c>
      <x:c r="D464" s="26" t="n">
        <x:v>328.02</x:v>
      </x:c>
      <x:c r="E464" s="24" t="n">
        <x:f>B464-C464</x:f>
        <x:v>85</x:v>
      </x:c>
      <x:c r="F464" s="25" t="n">
        <x:f>C464/B464</x:f>
        <x:v>0.011627906976744186</x:v>
      </x:c>
      <x:c r="G464" s="23" t="str">
        <x:f>IF(B464&gt;$B$5,"Yes","No")</x:f>
        <x:v>Yes</x:v>
      </x:c>
      <x:c r="H464" s="23" t="str">
        <x:f>IF(F464&gt;$B$4,"Yes","No")</x:f>
        <x:v>Yes</x:v>
      </x:c>
      <x:c r="I464" s="23" t="str">
        <x:f>IF(AND(G464="Yes",H464="Yes"),"Top-right","Other")</x:f>
        <x:v>Top-right</x:v>
      </x:c>
    </x:row>
    <x:row r="465">
      <x:c r="A465" s="23" t="str">
        <x:v>Champlin and Sons</x:v>
      </x:c>
      <x:c r="B465" s="24" t="n">
        <x:v>86</x:v>
      </x:c>
      <x:c r="C465" s="24" t="n">
        <x:v>0</x:v>
      </x:c>
      <x:c r="D465" s="26" t="n">
        <x:v>0</x:v>
      </x:c>
      <x:c r="E465" s="24" t="n">
        <x:f>B465-C465</x:f>
        <x:v>86</x:v>
      </x:c>
      <x:c r="F465" s="25" t="n">
        <x:f>C465/B465</x:f>
        <x:v>0</x:v>
      </x:c>
      <x:c r="G465" s="23" t="str">
        <x:f>IF(B465&gt;$B$5,"Yes","No")</x:f>
        <x:v>Yes</x:v>
      </x:c>
      <x:c r="H465" s="23" t="str">
        <x:f>IF(F465&gt;$B$4,"Yes","No")</x:f>
        <x:v>No</x:v>
      </x:c>
      <x:c r="I465" s="23" t="str">
        <x:f>IF(AND(G465="Yes",H465="Yes"),"Top-right","Other")</x:f>
        <x:v>Other</x:v>
      </x:c>
    </x:row>
    <x:row r="466">
      <x:c r="A466" s="23" t="str">
        <x:v>Huel, Hammes and Witting</x:v>
      </x:c>
      <x:c r="B466" s="24" t="n">
        <x:v>86</x:v>
      </x:c>
      <x:c r="C466" s="24" t="n">
        <x:v>2</x:v>
      </x:c>
      <x:c r="D466" s="26" t="n">
        <x:v>732.8599999999999</x:v>
      </x:c>
      <x:c r="E466" s="24" t="n">
        <x:f>B466-C466</x:f>
        <x:v>84</x:v>
      </x:c>
      <x:c r="F466" s="25" t="n">
        <x:f>C466/B466</x:f>
        <x:v>0.023255813953488372</x:v>
      </x:c>
      <x:c r="G466" s="23" t="str">
        <x:f>IF(B466&gt;$B$5,"Yes","No")</x:f>
        <x:v>Yes</x:v>
      </x:c>
      <x:c r="H466" s="23" t="str">
        <x:f>IF(F466&gt;$B$4,"Yes","No")</x:f>
        <x:v>Yes</x:v>
      </x:c>
      <x:c r="I466" s="23" t="str">
        <x:f>IF(AND(G466="Yes",H466="Yes"),"Top-right","Other")</x:f>
        <x:v>Top-right</x:v>
      </x:c>
    </x:row>
    <x:row r="467">
      <x:c r="A467" s="23" t="str">
        <x:v>Bartoletti-Wunsch</x:v>
      </x:c>
      <x:c r="B467" s="24" t="n">
        <x:v>87</x:v>
      </x:c>
      <x:c r="C467" s="24" t="n">
        <x:v>0</x:v>
      </x:c>
      <x:c r="D467" s="26" t="n">
        <x:v>0</x:v>
      </x:c>
      <x:c r="E467" s="24" t="n">
        <x:f>B467-C467</x:f>
        <x:v>87</x:v>
      </x:c>
      <x:c r="F467" s="25" t="n">
        <x:f>C467/B467</x:f>
        <x:v>0</x:v>
      </x:c>
      <x:c r="G467" s="23" t="str">
        <x:f>IF(B467&gt;$B$5,"Yes","No")</x:f>
        <x:v>Yes</x:v>
      </x:c>
      <x:c r="H467" s="23" t="str">
        <x:f>IF(F467&gt;$B$4,"Yes","No")</x:f>
        <x:v>No</x:v>
      </x:c>
      <x:c r="I467" s="23" t="str">
        <x:f>IF(AND(G467="Yes",H467="Yes"),"Top-right","Other")</x:f>
        <x:v>Other</x:v>
      </x:c>
    </x:row>
    <x:row r="468">
      <x:c r="A468" s="23" t="str">
        <x:v>Connelly, Reichert and Fritsch</x:v>
      </x:c>
      <x:c r="B468" s="24" t="n">
        <x:v>87</x:v>
      </x:c>
      <x:c r="C468" s="24" t="n">
        <x:v>0</x:v>
      </x:c>
      <x:c r="D468" s="26" t="n">
        <x:v>0</x:v>
      </x:c>
      <x:c r="E468" s="24" t="n">
        <x:f>B468-C468</x:f>
        <x:v>87</x:v>
      </x:c>
      <x:c r="F468" s="25" t="n">
        <x:f>C468/B468</x:f>
        <x:v>0</x:v>
      </x:c>
      <x:c r="G468" s="23" t="str">
        <x:f>IF(B468&gt;$B$5,"Yes","No")</x:f>
        <x:v>Yes</x:v>
      </x:c>
      <x:c r="H468" s="23" t="str">
        <x:f>IF(F468&gt;$B$4,"Yes","No")</x:f>
        <x:v>No</x:v>
      </x:c>
      <x:c r="I468" s="23" t="str">
        <x:f>IF(AND(G468="Yes",H468="Yes"),"Top-right","Other")</x:f>
        <x:v>Other</x:v>
      </x:c>
    </x:row>
    <x:row r="469">
      <x:c r="A469" s="23" t="str">
        <x:v>Heller, Gutmann and Zieme</x:v>
      </x:c>
      <x:c r="B469" s="24" t="n">
        <x:v>87</x:v>
      </x:c>
      <x:c r="C469" s="24" t="n">
        <x:v>0</x:v>
      </x:c>
      <x:c r="D469" s="26" t="n">
        <x:v>0</x:v>
      </x:c>
      <x:c r="E469" s="24" t="n">
        <x:f>B469-C469</x:f>
        <x:v>87</x:v>
      </x:c>
      <x:c r="F469" s="25" t="n">
        <x:f>C469/B469</x:f>
        <x:v>0</x:v>
      </x:c>
      <x:c r="G469" s="23" t="str">
        <x:f>IF(B469&gt;$B$5,"Yes","No")</x:f>
        <x:v>Yes</x:v>
      </x:c>
      <x:c r="H469" s="23" t="str">
        <x:f>IF(F469&gt;$B$4,"Yes","No")</x:f>
        <x:v>No</x:v>
      </x:c>
      <x:c r="I469" s="23" t="str">
        <x:f>IF(AND(G469="Yes",H469="Yes"),"Top-right","Other")</x:f>
        <x:v>Other</x:v>
      </x:c>
    </x:row>
    <x:row r="470">
      <x:c r="A470" s="23" t="str">
        <x:v>Schoen, Kuphal and Nitzsche</x:v>
      </x:c>
      <x:c r="B470" s="24" t="n">
        <x:v>87</x:v>
      </x:c>
      <x:c r="C470" s="24" t="n">
        <x:v>0</x:v>
      </x:c>
      <x:c r="D470" s="26" t="n">
        <x:v>0</x:v>
      </x:c>
      <x:c r="E470" s="24" t="n">
        <x:f>B470-C470</x:f>
        <x:v>87</x:v>
      </x:c>
      <x:c r="F470" s="25" t="n">
        <x:f>C470/B470</x:f>
        <x:v>0</x:v>
      </x:c>
      <x:c r="G470" s="23" t="str">
        <x:f>IF(B470&gt;$B$5,"Yes","No")</x:f>
        <x:v>Yes</x:v>
      </x:c>
      <x:c r="H470" s="23" t="str">
        <x:f>IF(F470&gt;$B$4,"Yes","No")</x:f>
        <x:v>No</x:v>
      </x:c>
      <x:c r="I470" s="23" t="str">
        <x:f>IF(AND(G470="Yes",H470="Yes"),"Top-right","Other")</x:f>
        <x:v>Other</x:v>
      </x:c>
    </x:row>
    <x:row r="471">
      <x:c r="A471" s="23" t="str">
        <x:v>Tillman, Dickinson and Labadie</x:v>
      </x:c>
      <x:c r="B471" s="24" t="n">
        <x:v>87</x:v>
      </x:c>
      <x:c r="C471" s="24" t="n">
        <x:v>0</x:v>
      </x:c>
      <x:c r="D471" s="26" t="n">
        <x:v>0</x:v>
      </x:c>
      <x:c r="E471" s="24" t="n">
        <x:f>B471-C471</x:f>
        <x:v>87</x:v>
      </x:c>
      <x:c r="F471" s="25" t="n">
        <x:f>C471/B471</x:f>
        <x:v>0</x:v>
      </x:c>
      <x:c r="G471" s="23" t="str">
        <x:f>IF(B471&gt;$B$5,"Yes","No")</x:f>
        <x:v>Yes</x:v>
      </x:c>
      <x:c r="H471" s="23" t="str">
        <x:f>IF(F471&gt;$B$4,"Yes","No")</x:f>
        <x:v>No</x:v>
      </x:c>
      <x:c r="I471" s="23" t="str">
        <x:f>IF(AND(G471="Yes",H471="Yes"),"Top-right","Other")</x:f>
        <x:v>Other</x:v>
      </x:c>
    </x:row>
    <x:row r="472">
      <x:c r="A472" s="23" t="str">
        <x:v>Corwin-Collins</x:v>
      </x:c>
      <x:c r="B472" s="24" t="n">
        <x:v>88</x:v>
      </x:c>
      <x:c r="C472" s="24" t="n">
        <x:v>0</x:v>
      </x:c>
      <x:c r="D472" s="26" t="n">
        <x:v>0</x:v>
      </x:c>
      <x:c r="E472" s="24" t="n">
        <x:f>B472-C472</x:f>
        <x:v>88</x:v>
      </x:c>
      <x:c r="F472" s="25" t="n">
        <x:f>C472/B472</x:f>
        <x:v>0</x:v>
      </x:c>
      <x:c r="G472" s="23" t="str">
        <x:f>IF(B472&gt;$B$5,"Yes","No")</x:f>
        <x:v>Yes</x:v>
      </x:c>
      <x:c r="H472" s="23" t="str">
        <x:f>IF(F472&gt;$B$4,"Yes","No")</x:f>
        <x:v>No</x:v>
      </x:c>
      <x:c r="I472" s="23" t="str">
        <x:f>IF(AND(G472="Yes",H472="Yes"),"Top-right","Other")</x:f>
        <x:v>Other</x:v>
      </x:c>
    </x:row>
    <x:row r="473">
      <x:c r="A473" s="23" t="str">
        <x:v>Doyle Ltd</x:v>
      </x:c>
      <x:c r="B473" s="24" t="n">
        <x:v>88</x:v>
      </x:c>
      <x:c r="C473" s="24" t="n">
        <x:v>0</x:v>
      </x:c>
      <x:c r="D473" s="26" t="n">
        <x:v>0</x:v>
      </x:c>
      <x:c r="E473" s="24" t="n">
        <x:f>B473-C473</x:f>
        <x:v>88</x:v>
      </x:c>
      <x:c r="F473" s="25" t="n">
        <x:f>C473/B473</x:f>
        <x:v>0</x:v>
      </x:c>
      <x:c r="G473" s="23" t="str">
        <x:f>IF(B473&gt;$B$5,"Yes","No")</x:f>
        <x:v>Yes</x:v>
      </x:c>
      <x:c r="H473" s="23" t="str">
        <x:f>IF(F473&gt;$B$4,"Yes","No")</x:f>
        <x:v>No</x:v>
      </x:c>
      <x:c r="I473" s="23" t="str">
        <x:f>IF(AND(G473="Yes",H473="Yes"),"Top-right","Other")</x:f>
        <x:v>Other</x:v>
      </x:c>
    </x:row>
    <x:row r="474">
      <x:c r="A474" s="23" t="str">
        <x:v>Hickle Group</x:v>
      </x:c>
      <x:c r="B474" s="24" t="n">
        <x:v>88</x:v>
      </x:c>
      <x:c r="C474" s="24" t="n">
        <x:v>0</x:v>
      </x:c>
      <x:c r="D474" s="26" t="n">
        <x:v>0</x:v>
      </x:c>
      <x:c r="E474" s="24" t="n">
        <x:f>B474-C474</x:f>
        <x:v>88</x:v>
      </x:c>
      <x:c r="F474" s="25" t="n">
        <x:f>C474/B474</x:f>
        <x:v>0</x:v>
      </x:c>
      <x:c r="G474" s="23" t="str">
        <x:f>IF(B474&gt;$B$5,"Yes","No")</x:f>
        <x:v>Yes</x:v>
      </x:c>
      <x:c r="H474" s="23" t="str">
        <x:f>IF(F474&gt;$B$4,"Yes","No")</x:f>
        <x:v>No</x:v>
      </x:c>
      <x:c r="I474" s="23" t="str">
        <x:f>IF(AND(G474="Yes",H474="Yes"),"Top-right","Other")</x:f>
        <x:v>Other</x:v>
      </x:c>
    </x:row>
    <x:row r="475">
      <x:c r="A475" s="23" t="str">
        <x:v>Metz, Russel and Metz</x:v>
      </x:c>
      <x:c r="B475" s="24" t="n">
        <x:v>88</x:v>
      </x:c>
      <x:c r="C475" s="24" t="n">
        <x:v>0</x:v>
      </x:c>
      <x:c r="D475" s="26" t="n">
        <x:v>0</x:v>
      </x:c>
      <x:c r="E475" s="24" t="n">
        <x:f>B475-C475</x:f>
        <x:v>88</x:v>
      </x:c>
      <x:c r="F475" s="25" t="n">
        <x:f>C475/B475</x:f>
        <x:v>0</x:v>
      </x:c>
      <x:c r="G475" s="23" t="str">
        <x:f>IF(B475&gt;$B$5,"Yes","No")</x:f>
        <x:v>Yes</x:v>
      </x:c>
      <x:c r="H475" s="23" t="str">
        <x:f>IF(F475&gt;$B$4,"Yes","No")</x:f>
        <x:v>No</x:v>
      </x:c>
      <x:c r="I475" s="23" t="str">
        <x:f>IF(AND(G475="Yes",H475="Yes"),"Top-right","Other")</x:f>
        <x:v>Other</x:v>
      </x:c>
    </x:row>
    <x:row r="476">
      <x:c r="A476" s="23" t="str">
        <x:v>Pacocha-Bauch</x:v>
      </x:c>
      <x:c r="B476" s="24" t="n">
        <x:v>88</x:v>
      </x:c>
      <x:c r="C476" s="24" t="n">
        <x:v>0</x:v>
      </x:c>
      <x:c r="D476" s="26" t="n">
        <x:v>0</x:v>
      </x:c>
      <x:c r="E476" s="24" t="n">
        <x:f>B476-C476</x:f>
        <x:v>88</x:v>
      </x:c>
      <x:c r="F476" s="25" t="n">
        <x:f>C476/B476</x:f>
        <x:v>0</x:v>
      </x:c>
      <x:c r="G476" s="23" t="str">
        <x:f>IF(B476&gt;$B$5,"Yes","No")</x:f>
        <x:v>Yes</x:v>
      </x:c>
      <x:c r="H476" s="23" t="str">
        <x:f>IF(F476&gt;$B$4,"Yes","No")</x:f>
        <x:v>No</x:v>
      </x:c>
      <x:c r="I476" s="23" t="str">
        <x:f>IF(AND(G476="Yes",H476="Yes"),"Top-right","Other")</x:f>
        <x:v>Other</x:v>
      </x:c>
    </x:row>
    <x:row r="477">
      <x:c r="A477" s="23" t="str">
        <x:v>Pacocha-O'Reilly</x:v>
      </x:c>
      <x:c r="B477" s="24" t="n">
        <x:v>88</x:v>
      </x:c>
      <x:c r="C477" s="24" t="n">
        <x:v>2</x:v>
      </x:c>
      <x:c r="D477" s="26" t="n">
        <x:v>623.6800000000001</x:v>
      </x:c>
      <x:c r="E477" s="24" t="n">
        <x:f>B477-C477</x:f>
        <x:v>86</x:v>
      </x:c>
      <x:c r="F477" s="25" t="n">
        <x:f>C477/B477</x:f>
        <x:v>0.022727272727272728</x:v>
      </x:c>
      <x:c r="G477" s="23" t="str">
        <x:f>IF(B477&gt;$B$5,"Yes","No")</x:f>
        <x:v>Yes</x:v>
      </x:c>
      <x:c r="H477" s="23" t="str">
        <x:f>IF(F477&gt;$B$4,"Yes","No")</x:f>
        <x:v>Yes</x:v>
      </x:c>
      <x:c r="I477" s="23" t="str">
        <x:f>IF(AND(G477="Yes",H477="Yes"),"Top-right","Other")</x:f>
        <x:v>Top-right</x:v>
      </x:c>
    </x:row>
    <x:row r="478">
      <x:c r="A478" s="23" t="str">
        <x:v>Pouros-Haag</x:v>
      </x:c>
      <x:c r="B478" s="24" t="n">
        <x:v>88</x:v>
      </x:c>
      <x:c r="C478" s="24" t="n">
        <x:v>1</x:v>
      </x:c>
      <x:c r="D478" s="26" t="n">
        <x:v>737.77</x:v>
      </x:c>
      <x:c r="E478" s="24" t="n">
        <x:f>B478-C478</x:f>
        <x:v>87</x:v>
      </x:c>
      <x:c r="F478" s="25" t="n">
        <x:f>C478/B478</x:f>
        <x:v>0.011363636363636364</x:v>
      </x:c>
      <x:c r="G478" s="23" t="str">
        <x:f>IF(B478&gt;$B$5,"Yes","No")</x:f>
        <x:v>Yes</x:v>
      </x:c>
      <x:c r="H478" s="23" t="str">
        <x:f>IF(F478&gt;$B$4,"Yes","No")</x:f>
        <x:v>Yes</x:v>
      </x:c>
      <x:c r="I478" s="23" t="str">
        <x:f>IF(AND(G478="Yes",H478="Yes"),"Top-right","Other")</x:f>
        <x:v>Top-right</x:v>
      </x:c>
    </x:row>
    <x:row r="479">
      <x:c r="A479" s="23" t="str">
        <x:v>Renner Ltd</x:v>
      </x:c>
      <x:c r="B479" s="24" t="n">
        <x:v>88</x:v>
      </x:c>
      <x:c r="C479" s="24" t="n">
        <x:v>0</x:v>
      </x:c>
      <x:c r="D479" s="26" t="n">
        <x:v>0</x:v>
      </x:c>
      <x:c r="E479" s="24" t="n">
        <x:f>B479-C479</x:f>
        <x:v>88</x:v>
      </x:c>
      <x:c r="F479" s="25" t="n">
        <x:f>C479/B479</x:f>
        <x:v>0</x:v>
      </x:c>
      <x:c r="G479" s="23" t="str">
        <x:f>IF(B479&gt;$B$5,"Yes","No")</x:f>
        <x:v>Yes</x:v>
      </x:c>
      <x:c r="H479" s="23" t="str">
        <x:f>IF(F479&gt;$B$4,"Yes","No")</x:f>
        <x:v>No</x:v>
      </x:c>
      <x:c r="I479" s="23" t="str">
        <x:f>IF(AND(G479="Yes",H479="Yes"),"Top-right","Other")</x:f>
        <x:v>Other</x:v>
      </x:c>
    </x:row>
    <x:row r="480">
      <x:c r="A480" s="23" t="str">
        <x:v>Hettinger, McCullough and Fay</x:v>
      </x:c>
      <x:c r="B480" s="24" t="n">
        <x:v>89</x:v>
      </x:c>
      <x:c r="C480" s="24" t="n">
        <x:v>0</x:v>
      </x:c>
      <x:c r="D480" s="26" t="n">
        <x:v>0</x:v>
      </x:c>
      <x:c r="E480" s="24" t="n">
        <x:f>B480-C480</x:f>
        <x:v>89</x:v>
      </x:c>
      <x:c r="F480" s="25" t="n">
        <x:f>C480/B480</x:f>
        <x:v>0</x:v>
      </x:c>
      <x:c r="G480" s="23" t="str">
        <x:f>IF(B480&gt;$B$5,"Yes","No")</x:f>
        <x:v>Yes</x:v>
      </x:c>
      <x:c r="H480" s="23" t="str">
        <x:f>IF(F480&gt;$B$4,"Yes","No")</x:f>
        <x:v>No</x:v>
      </x:c>
      <x:c r="I480" s="23" t="str">
        <x:f>IF(AND(G480="Yes",H480="Yes"),"Top-right","Other")</x:f>
        <x:v>Other</x:v>
      </x:c>
    </x:row>
    <x:row r="481">
      <x:c r="A481" s="23" t="str">
        <x:v>Olson, Becker and Koch</x:v>
      </x:c>
      <x:c r="B481" s="24" t="n">
        <x:v>89</x:v>
      </x:c>
      <x:c r="C481" s="24" t="n">
        <x:v>0</x:v>
      </x:c>
      <x:c r="D481" s="26" t="n">
        <x:v>0</x:v>
      </x:c>
      <x:c r="E481" s="24" t="n">
        <x:f>B481-C481</x:f>
        <x:v>89</x:v>
      </x:c>
      <x:c r="F481" s="25" t="n">
        <x:f>C481/B481</x:f>
        <x:v>0</x:v>
      </x:c>
      <x:c r="G481" s="23" t="str">
        <x:f>IF(B481&gt;$B$5,"Yes","No")</x:f>
        <x:v>Yes</x:v>
      </x:c>
      <x:c r="H481" s="23" t="str">
        <x:f>IF(F481&gt;$B$4,"Yes","No")</x:f>
        <x:v>No</x:v>
      </x:c>
      <x:c r="I481" s="23" t="str">
        <x:f>IF(AND(G481="Yes",H481="Yes"),"Top-right","Other")</x:f>
        <x:v>Other</x:v>
      </x:c>
    </x:row>
    <x:row r="482">
      <x:c r="A482" s="23" t="str">
        <x:v>Raynor, Reinger and Hagenes</x:v>
      </x:c>
      <x:c r="B482" s="24" t="n">
        <x:v>89</x:v>
      </x:c>
      <x:c r="C482" s="24" t="n">
        <x:v>0</x:v>
      </x:c>
      <x:c r="D482" s="26" t="n">
        <x:v>0</x:v>
      </x:c>
      <x:c r="E482" s="24" t="n">
        <x:f>B482-C482</x:f>
        <x:v>89</x:v>
      </x:c>
      <x:c r="F482" s="25" t="n">
        <x:f>C482/B482</x:f>
        <x:v>0</x:v>
      </x:c>
      <x:c r="G482" s="23" t="str">
        <x:f>IF(B482&gt;$B$5,"Yes","No")</x:f>
        <x:v>Yes</x:v>
      </x:c>
      <x:c r="H482" s="23" t="str">
        <x:f>IF(F482&gt;$B$4,"Yes","No")</x:f>
        <x:v>No</x:v>
      </x:c>
      <x:c r="I482" s="23" t="str">
        <x:f>IF(AND(G482="Yes",H482="Yes"),"Top-right","Other")</x:f>
        <x:v>Other</x:v>
      </x:c>
    </x:row>
    <x:row r="483">
      <x:c r="A483" s="23" t="str">
        <x:v>Rodriguez Group</x:v>
      </x:c>
      <x:c r="B483" s="24" t="n">
        <x:v>90</x:v>
      </x:c>
      <x:c r="C483" s="24" t="n">
        <x:v>0</x:v>
      </x:c>
      <x:c r="D483" s="26" t="n">
        <x:v>0</x:v>
      </x:c>
      <x:c r="E483" s="24" t="n">
        <x:f>B483-C483</x:f>
        <x:v>90</x:v>
      </x:c>
      <x:c r="F483" s="25" t="n">
        <x:f>C483/B483</x:f>
        <x:v>0</x:v>
      </x:c>
      <x:c r="G483" s="23" t="str">
        <x:f>IF(B483&gt;$B$5,"Yes","No")</x:f>
        <x:v>Yes</x:v>
      </x:c>
      <x:c r="H483" s="23" t="str">
        <x:f>IF(F483&gt;$B$4,"Yes","No")</x:f>
        <x:v>No</x:v>
      </x:c>
      <x:c r="I483" s="23" t="str">
        <x:f>IF(AND(G483="Yes",H483="Yes"),"Top-right","Other")</x:f>
        <x:v>Other</x:v>
      </x:c>
    </x:row>
    <x:row r="484">
      <x:c r="A484" s="23" t="str">
        <x:v>Schuppe, Nolan and Hoeger</x:v>
      </x:c>
      <x:c r="B484" s="24" t="n">
        <x:v>90</x:v>
      </x:c>
      <x:c r="C484" s="24" t="n">
        <x:v>0</x:v>
      </x:c>
      <x:c r="D484" s="26" t="n">
        <x:v>0</x:v>
      </x:c>
      <x:c r="E484" s="24" t="n">
        <x:f>B484-C484</x:f>
        <x:v>90</x:v>
      </x:c>
      <x:c r="F484" s="25" t="n">
        <x:f>C484/B484</x:f>
        <x:v>0</x:v>
      </x:c>
      <x:c r="G484" s="23" t="str">
        <x:f>IF(B484&gt;$B$5,"Yes","No")</x:f>
        <x:v>Yes</x:v>
      </x:c>
      <x:c r="H484" s="23" t="str">
        <x:f>IF(F484&gt;$B$4,"Yes","No")</x:f>
        <x:v>No</x:v>
      </x:c>
      <x:c r="I484" s="23" t="str">
        <x:f>IF(AND(G484="Yes",H484="Yes"),"Top-right","Other")</x:f>
        <x:v>Other</x:v>
      </x:c>
    </x:row>
    <x:row r="485">
      <x:c r="A485" s="23" t="str">
        <x:v>Haley, Jewess and Bechtelar</x:v>
      </x:c>
      <x:c r="B485" s="24" t="n">
        <x:v>91</x:v>
      </x:c>
      <x:c r="C485" s="24" t="n">
        <x:v>0</x:v>
      </x:c>
      <x:c r="D485" s="26" t="n">
        <x:v>0</x:v>
      </x:c>
      <x:c r="E485" s="24" t="n">
        <x:f>B485-C485</x:f>
        <x:v>91</x:v>
      </x:c>
      <x:c r="F485" s="25" t="n">
        <x:f>C485/B485</x:f>
        <x:v>0</x:v>
      </x:c>
      <x:c r="G485" s="23" t="str">
        <x:f>IF(B485&gt;$B$5,"Yes","No")</x:f>
        <x:v>Yes</x:v>
      </x:c>
      <x:c r="H485" s="23" t="str">
        <x:f>IF(F485&gt;$B$4,"Yes","No")</x:f>
        <x:v>No</x:v>
      </x:c>
      <x:c r="I485" s="23" t="str">
        <x:f>IF(AND(G485="Yes",H485="Yes"),"Top-right","Other")</x:f>
        <x:v>Other</x:v>
      </x:c>
    </x:row>
    <x:row r="486">
      <x:c r="A486" s="23" t="str">
        <x:v>Harris Inc</x:v>
      </x:c>
      <x:c r="B486" s="24" t="n">
        <x:v>91</x:v>
      </x:c>
      <x:c r="C486" s="24" t="n">
        <x:v>0</x:v>
      </x:c>
      <x:c r="D486" s="26" t="n">
        <x:v>0</x:v>
      </x:c>
      <x:c r="E486" s="24" t="n">
        <x:f>B486-C486</x:f>
        <x:v>91</x:v>
      </x:c>
      <x:c r="F486" s="25" t="n">
        <x:f>C486/B486</x:f>
        <x:v>0</x:v>
      </x:c>
      <x:c r="G486" s="23" t="str">
        <x:f>IF(B486&gt;$B$5,"Yes","No")</x:f>
        <x:v>Yes</x:v>
      </x:c>
      <x:c r="H486" s="23" t="str">
        <x:f>IF(F486&gt;$B$4,"Yes","No")</x:f>
        <x:v>No</x:v>
      </x:c>
      <x:c r="I486" s="23" t="str">
        <x:f>IF(AND(G486="Yes",H486="Yes"),"Top-right","Other")</x:f>
        <x:v>Other</x:v>
      </x:c>
    </x:row>
    <x:row r="487">
      <x:c r="A487" s="23" t="str">
        <x:v>Kutch, Hermiston and Farrell</x:v>
      </x:c>
      <x:c r="B487" s="24" t="n">
        <x:v>91</x:v>
      </x:c>
      <x:c r="C487" s="24" t="n">
        <x:v>0</x:v>
      </x:c>
      <x:c r="D487" s="26" t="n">
        <x:v>0</x:v>
      </x:c>
      <x:c r="E487" s="24" t="n">
        <x:f>B487-C487</x:f>
        <x:v>91</x:v>
      </x:c>
      <x:c r="F487" s="25" t="n">
        <x:f>C487/B487</x:f>
        <x:v>0</x:v>
      </x:c>
      <x:c r="G487" s="23" t="str">
        <x:f>IF(B487&gt;$B$5,"Yes","No")</x:f>
        <x:v>Yes</x:v>
      </x:c>
      <x:c r="H487" s="23" t="str">
        <x:f>IF(F487&gt;$B$4,"Yes","No")</x:f>
        <x:v>No</x:v>
      </x:c>
      <x:c r="I487" s="23" t="str">
        <x:f>IF(AND(G487="Yes",H487="Yes"),"Top-right","Other")</x:f>
        <x:v>Other</x:v>
      </x:c>
    </x:row>
    <x:row r="488">
      <x:c r="A488" s="23" t="str">
        <x:v>Lind, Huel and McClure</x:v>
      </x:c>
      <x:c r="B488" s="24" t="n">
        <x:v>91</x:v>
      </x:c>
      <x:c r="C488" s="24" t="n">
        <x:v>1</x:v>
      </x:c>
      <x:c r="D488" s="26" t="n">
        <x:v>9.94</x:v>
      </x:c>
      <x:c r="E488" s="24" t="n">
        <x:f>B488-C488</x:f>
        <x:v>90</x:v>
      </x:c>
      <x:c r="F488" s="25" t="n">
        <x:f>C488/B488</x:f>
        <x:v>0.01098901098901099</x:v>
      </x:c>
      <x:c r="G488" s="23" t="str">
        <x:f>IF(B488&gt;$B$5,"Yes","No")</x:f>
        <x:v>Yes</x:v>
      </x:c>
      <x:c r="H488" s="23" t="str">
        <x:f>IF(F488&gt;$B$4,"Yes","No")</x:f>
        <x:v>Yes</x:v>
      </x:c>
      <x:c r="I488" s="23" t="str">
        <x:f>IF(AND(G488="Yes",H488="Yes"),"Top-right","Other")</x:f>
        <x:v>Top-right</x:v>
      </x:c>
    </x:row>
    <x:row r="489">
      <x:c r="A489" s="23" t="str">
        <x:v>Morissette PLC</x:v>
      </x:c>
      <x:c r="B489" s="24" t="n">
        <x:v>91</x:v>
      </x:c>
      <x:c r="C489" s="24" t="n">
        <x:v>0</x:v>
      </x:c>
      <x:c r="D489" s="26" t="n">
        <x:v>0</x:v>
      </x:c>
      <x:c r="E489" s="24" t="n">
        <x:f>B489-C489</x:f>
        <x:v>91</x:v>
      </x:c>
      <x:c r="F489" s="25" t="n">
        <x:f>C489/B489</x:f>
        <x:v>0</x:v>
      </x:c>
      <x:c r="G489" s="23" t="str">
        <x:f>IF(B489&gt;$B$5,"Yes","No")</x:f>
        <x:v>Yes</x:v>
      </x:c>
      <x:c r="H489" s="23" t="str">
        <x:f>IF(F489&gt;$B$4,"Yes","No")</x:f>
        <x:v>No</x:v>
      </x:c>
      <x:c r="I489" s="23" t="str">
        <x:f>IF(AND(G489="Yes",H489="Yes"),"Top-right","Other")</x:f>
        <x:v>Other</x:v>
      </x:c>
    </x:row>
    <x:row r="490">
      <x:c r="A490" s="23" t="str">
        <x:v>Prohaska-Murray</x:v>
      </x:c>
      <x:c r="B490" s="24" t="n">
        <x:v>91</x:v>
      </x:c>
      <x:c r="C490" s="24" t="n">
        <x:v>2</x:v>
      </x:c>
      <x:c r="D490" s="26" t="n">
        <x:v>43.879999999999995</x:v>
      </x:c>
      <x:c r="E490" s="24" t="n">
        <x:f>B490-C490</x:f>
        <x:v>89</x:v>
      </x:c>
      <x:c r="F490" s="25" t="n">
        <x:f>C490/B490</x:f>
        <x:v>0.02197802197802198</x:v>
      </x:c>
      <x:c r="G490" s="23" t="str">
        <x:f>IF(B490&gt;$B$5,"Yes","No")</x:f>
        <x:v>Yes</x:v>
      </x:c>
      <x:c r="H490" s="23" t="str">
        <x:f>IF(F490&gt;$B$4,"Yes","No")</x:f>
        <x:v>Yes</x:v>
      </x:c>
      <x:c r="I490" s="23" t="str">
        <x:f>IF(AND(G490="Yes",H490="Yes"),"Top-right","Other")</x:f>
        <x:v>Top-right</x:v>
      </x:c>
    </x:row>
    <x:row r="491">
      <x:c r="A491" s="23" t="str">
        <x:v>Streich, Hansen and Veum</x:v>
      </x:c>
      <x:c r="B491" s="24" t="n">
        <x:v>91</x:v>
      </x:c>
      <x:c r="C491" s="24" t="n">
        <x:v>0</x:v>
      </x:c>
      <x:c r="D491" s="26" t="n">
        <x:v>0</x:v>
      </x:c>
      <x:c r="E491" s="24" t="n">
        <x:f>B491-C491</x:f>
        <x:v>91</x:v>
      </x:c>
      <x:c r="F491" s="25" t="n">
        <x:f>C491/B491</x:f>
        <x:v>0</x:v>
      </x:c>
      <x:c r="G491" s="23" t="str">
        <x:f>IF(B491&gt;$B$5,"Yes","No")</x:f>
        <x:v>Yes</x:v>
      </x:c>
      <x:c r="H491" s="23" t="str">
        <x:f>IF(F491&gt;$B$4,"Yes","No")</x:f>
        <x:v>No</x:v>
      </x:c>
      <x:c r="I491" s="23" t="str">
        <x:f>IF(AND(G491="Yes",H491="Yes"),"Top-right","Other")</x:f>
        <x:v>Other</x:v>
      </x:c>
    </x:row>
    <x:row r="492">
      <x:c r="A492" s="23" t="str">
        <x:v>Denesik and Sons</x:v>
      </x:c>
      <x:c r="B492" s="24" t="n">
        <x:v>92</x:v>
      </x:c>
      <x:c r="C492" s="24" t="n">
        <x:v>1</x:v>
      </x:c>
      <x:c r="D492" s="26" t="n">
        <x:v>850.21</x:v>
      </x:c>
      <x:c r="E492" s="24" t="n">
        <x:f>B492-C492</x:f>
        <x:v>91</x:v>
      </x:c>
      <x:c r="F492" s="25" t="n">
        <x:f>C492/B492</x:f>
        <x:v>0.010869565217391304</x:v>
      </x:c>
      <x:c r="G492" s="23" t="str">
        <x:f>IF(B492&gt;$B$5,"Yes","No")</x:f>
        <x:v>Yes</x:v>
      </x:c>
      <x:c r="H492" s="23" t="str">
        <x:f>IF(F492&gt;$B$4,"Yes","No")</x:f>
        <x:v>Yes</x:v>
      </x:c>
      <x:c r="I492" s="23" t="str">
        <x:f>IF(AND(G492="Yes",H492="Yes"),"Top-right","Other")</x:f>
        <x:v>Top-right</x:v>
      </x:c>
    </x:row>
    <x:row r="493">
      <x:c r="A493" s="23" t="str">
        <x:v>Harber Inc</x:v>
      </x:c>
      <x:c r="B493" s="24" t="n">
        <x:v>92</x:v>
      </x:c>
      <x:c r="C493" s="24" t="n">
        <x:v>1</x:v>
      </x:c>
      <x:c r="D493" s="26" t="n">
        <x:v>7.78</x:v>
      </x:c>
      <x:c r="E493" s="24" t="n">
        <x:f>B493-C493</x:f>
        <x:v>91</x:v>
      </x:c>
      <x:c r="F493" s="25" t="n">
        <x:f>C493/B493</x:f>
        <x:v>0.010869565217391304</x:v>
      </x:c>
      <x:c r="G493" s="23" t="str">
        <x:f>IF(B493&gt;$B$5,"Yes","No")</x:f>
        <x:v>Yes</x:v>
      </x:c>
      <x:c r="H493" s="23" t="str">
        <x:f>IF(F493&gt;$B$4,"Yes","No")</x:f>
        <x:v>Yes</x:v>
      </x:c>
      <x:c r="I493" s="23" t="str">
        <x:f>IF(AND(G493="Yes",H493="Yes"),"Top-right","Other")</x:f>
        <x:v>Top-right</x:v>
      </x:c>
    </x:row>
    <x:row r="494">
      <x:c r="A494" s="23" t="str">
        <x:v>Huels-Hahn</x:v>
      </x:c>
      <x:c r="B494" s="24" t="n">
        <x:v>92</x:v>
      </x:c>
      <x:c r="C494" s="24" t="n">
        <x:v>0</x:v>
      </x:c>
      <x:c r="D494" s="26" t="n">
        <x:v>0</x:v>
      </x:c>
      <x:c r="E494" s="24" t="n">
        <x:f>B494-C494</x:f>
        <x:v>92</x:v>
      </x:c>
      <x:c r="F494" s="25" t="n">
        <x:f>C494/B494</x:f>
        <x:v>0</x:v>
      </x:c>
      <x:c r="G494" s="23" t="str">
        <x:f>IF(B494&gt;$B$5,"Yes","No")</x:f>
        <x:v>Yes</x:v>
      </x:c>
      <x:c r="H494" s="23" t="str">
        <x:f>IF(F494&gt;$B$4,"Yes","No")</x:f>
        <x:v>No</x:v>
      </x:c>
      <x:c r="I494" s="23" t="str">
        <x:f>IF(AND(G494="Yes",H494="Yes"),"Top-right","Other")</x:f>
        <x:v>Other</x:v>
      </x:c>
    </x:row>
    <x:row r="495">
      <x:c r="A495" s="23" t="str">
        <x:v>Pagac LLC</x:v>
      </x:c>
      <x:c r="B495" s="24" t="n">
        <x:v>92</x:v>
      </x:c>
      <x:c r="C495" s="24" t="n">
        <x:v>0</x:v>
      </x:c>
      <x:c r="D495" s="26" t="n">
        <x:v>0</x:v>
      </x:c>
      <x:c r="E495" s="24" t="n">
        <x:f>B495-C495</x:f>
        <x:v>92</x:v>
      </x:c>
      <x:c r="F495" s="25" t="n">
        <x:f>C495/B495</x:f>
        <x:v>0</x:v>
      </x:c>
      <x:c r="G495" s="23" t="str">
        <x:f>IF(B495&gt;$B$5,"Yes","No")</x:f>
        <x:v>Yes</x:v>
      </x:c>
      <x:c r="H495" s="23" t="str">
        <x:f>IF(F495&gt;$B$4,"Yes","No")</x:f>
        <x:v>No</x:v>
      </x:c>
      <x:c r="I495" s="23" t="str">
        <x:f>IF(AND(G495="Yes",H495="Yes"),"Top-right","Other")</x:f>
        <x:v>Other</x:v>
      </x:c>
    </x:row>
    <x:row r="496">
      <x:c r="A496" s="23" t="str">
        <x:v>Schiller, Blanda and Johnson</x:v>
      </x:c>
      <x:c r="B496" s="24" t="n">
        <x:v>92</x:v>
      </x:c>
      <x:c r="C496" s="24" t="n">
        <x:v>0</x:v>
      </x:c>
      <x:c r="D496" s="26" t="n">
        <x:v>0</x:v>
      </x:c>
      <x:c r="E496" s="24" t="n">
        <x:f>B496-C496</x:f>
        <x:v>92</x:v>
      </x:c>
      <x:c r="F496" s="25" t="n">
        <x:f>C496/B496</x:f>
        <x:v>0</x:v>
      </x:c>
      <x:c r="G496" s="23" t="str">
        <x:f>IF(B496&gt;$B$5,"Yes","No")</x:f>
        <x:v>Yes</x:v>
      </x:c>
      <x:c r="H496" s="23" t="str">
        <x:f>IF(F496&gt;$B$4,"Yes","No")</x:f>
        <x:v>No</x:v>
      </x:c>
      <x:c r="I496" s="23" t="str">
        <x:f>IF(AND(G496="Yes",H496="Yes"),"Top-right","Other")</x:f>
        <x:v>Other</x:v>
      </x:c>
    </x:row>
    <x:row r="497">
      <x:c r="A497" s="23" t="str">
        <x:v>Bins-Rice</x:v>
      </x:c>
      <x:c r="B497" s="24" t="n">
        <x:v>93</x:v>
      </x:c>
      <x:c r="C497" s="24" t="n">
        <x:v>0</x:v>
      </x:c>
      <x:c r="D497" s="26" t="n">
        <x:v>0</x:v>
      </x:c>
      <x:c r="E497" s="24" t="n">
        <x:f>B497-C497</x:f>
        <x:v>93</x:v>
      </x:c>
      <x:c r="F497" s="25" t="n">
        <x:f>C497/B497</x:f>
        <x:v>0</x:v>
      </x:c>
      <x:c r="G497" s="23" t="str">
        <x:f>IF(B497&gt;$B$5,"Yes","No")</x:f>
        <x:v>Yes</x:v>
      </x:c>
      <x:c r="H497" s="23" t="str">
        <x:f>IF(F497&gt;$B$4,"Yes","No")</x:f>
        <x:v>No</x:v>
      </x:c>
      <x:c r="I497" s="23" t="str">
        <x:f>IF(AND(G497="Yes",H497="Yes"),"Top-right","Other")</x:f>
        <x:v>Other</x:v>
      </x:c>
    </x:row>
    <x:row r="498">
      <x:c r="A498" s="23" t="str">
        <x:v>Ernser-Feest</x:v>
      </x:c>
      <x:c r="B498" s="24" t="n">
        <x:v>93</x:v>
      </x:c>
      <x:c r="C498" s="24" t="n">
        <x:v>0</x:v>
      </x:c>
      <x:c r="D498" s="26" t="n">
        <x:v>0</x:v>
      </x:c>
      <x:c r="E498" s="24" t="n">
        <x:f>B498-C498</x:f>
        <x:v>93</x:v>
      </x:c>
      <x:c r="F498" s="25" t="n">
        <x:f>C498/B498</x:f>
        <x:v>0</x:v>
      </x:c>
      <x:c r="G498" s="23" t="str">
        <x:f>IF(B498&gt;$B$5,"Yes","No")</x:f>
        <x:v>Yes</x:v>
      </x:c>
      <x:c r="H498" s="23" t="str">
        <x:f>IF(F498&gt;$B$4,"Yes","No")</x:f>
        <x:v>No</x:v>
      </x:c>
      <x:c r="I498" s="23" t="str">
        <x:f>IF(AND(G498="Yes",H498="Yes"),"Top-right","Other")</x:f>
        <x:v>Other</x:v>
      </x:c>
    </x:row>
    <x:row r="499">
      <x:c r="A499" s="23" t="str">
        <x:v>Kuvalis Ltd</x:v>
      </x:c>
      <x:c r="B499" s="24" t="n">
        <x:v>93</x:v>
      </x:c>
      <x:c r="C499" s="24" t="n">
        <x:v>0</x:v>
      </x:c>
      <x:c r="D499" s="26" t="n">
        <x:v>0</x:v>
      </x:c>
      <x:c r="E499" s="24" t="n">
        <x:f>B499-C499</x:f>
        <x:v>93</x:v>
      </x:c>
      <x:c r="F499" s="25" t="n">
        <x:f>C499/B499</x:f>
        <x:v>0</x:v>
      </x:c>
      <x:c r="G499" s="23" t="str">
        <x:f>IF(B499&gt;$B$5,"Yes","No")</x:f>
        <x:v>Yes</x:v>
      </x:c>
      <x:c r="H499" s="23" t="str">
        <x:f>IF(F499&gt;$B$4,"Yes","No")</x:f>
        <x:v>No</x:v>
      </x:c>
      <x:c r="I499" s="23" t="str">
        <x:f>IF(AND(G499="Yes",H499="Yes"),"Top-right","Other")</x:f>
        <x:v>Other</x:v>
      </x:c>
    </x:row>
    <x:row r="500">
      <x:c r="A500" s="23" t="str">
        <x:v>Rau-Grant</x:v>
      </x:c>
      <x:c r="B500" s="24" t="n">
        <x:v>93</x:v>
      </x:c>
      <x:c r="C500" s="24" t="n">
        <x:v>0</x:v>
      </x:c>
      <x:c r="D500" s="26" t="n">
        <x:v>0</x:v>
      </x:c>
      <x:c r="E500" s="24" t="n">
        <x:f>B500-C500</x:f>
        <x:v>93</x:v>
      </x:c>
      <x:c r="F500" s="25" t="n">
        <x:f>C500/B500</x:f>
        <x:v>0</x:v>
      </x:c>
      <x:c r="G500" s="23" t="str">
        <x:f>IF(B500&gt;$B$5,"Yes","No")</x:f>
        <x:v>Yes</x:v>
      </x:c>
      <x:c r="H500" s="23" t="str">
        <x:f>IF(F500&gt;$B$4,"Yes","No")</x:f>
        <x:v>No</x:v>
      </x:c>
      <x:c r="I500" s="23" t="str">
        <x:f>IF(AND(G500="Yes",H500="Yes"),"Top-right","Other")</x:f>
        <x:v>Other</x:v>
      </x:c>
    </x:row>
    <x:row r="501">
      <x:c r="A501" s="23" t="str">
        <x:v>Denesik, Powlowski and Pouros</x:v>
      </x:c>
      <x:c r="B501" s="24" t="n">
        <x:v>94</x:v>
      </x:c>
      <x:c r="C501" s="24" t="n">
        <x:v>1</x:v>
      </x:c>
      <x:c r="D501" s="26" t="n">
        <x:v>262.93</x:v>
      </x:c>
      <x:c r="E501" s="24" t="n">
        <x:f>B501-C501</x:f>
        <x:v>93</x:v>
      </x:c>
      <x:c r="F501" s="25" t="n">
        <x:f>C501/B501</x:f>
        <x:v>0.010638297872340425</x:v>
      </x:c>
      <x:c r="G501" s="23" t="str">
        <x:f>IF(B501&gt;$B$5,"Yes","No")</x:f>
        <x:v>Yes</x:v>
      </x:c>
      <x:c r="H501" s="23" t="str">
        <x:f>IF(F501&gt;$B$4,"Yes","No")</x:f>
        <x:v>Yes</x:v>
      </x:c>
      <x:c r="I501" s="23" t="str">
        <x:f>IF(AND(G501="Yes",H501="Yes"),"Top-right","Other")</x:f>
        <x:v>Top-right</x:v>
      </x:c>
    </x:row>
    <x:row r="502">
      <x:c r="A502" s="23" t="str">
        <x:v>Emard Inc</x:v>
      </x:c>
      <x:c r="B502" s="24" t="n">
        <x:v>94</x:v>
      </x:c>
      <x:c r="C502" s="24" t="n">
        <x:v>0</x:v>
      </x:c>
      <x:c r="D502" s="26" t="n">
        <x:v>0</x:v>
      </x:c>
      <x:c r="E502" s="24" t="n">
        <x:f>B502-C502</x:f>
        <x:v>94</x:v>
      </x:c>
      <x:c r="F502" s="25" t="n">
        <x:f>C502/B502</x:f>
        <x:v>0</x:v>
      </x:c>
      <x:c r="G502" s="23" t="str">
        <x:f>IF(B502&gt;$B$5,"Yes","No")</x:f>
        <x:v>Yes</x:v>
      </x:c>
      <x:c r="H502" s="23" t="str">
        <x:f>IF(F502&gt;$B$4,"Yes","No")</x:f>
        <x:v>No</x:v>
      </x:c>
      <x:c r="I502" s="23" t="str">
        <x:f>IF(AND(G502="Yes",H502="Yes"),"Top-right","Other")</x:f>
        <x:v>Other</x:v>
      </x:c>
    </x:row>
    <x:row r="503">
      <x:c r="A503" s="23" t="str">
        <x:v>Schmidt-Larkin</x:v>
      </x:c>
      <x:c r="B503" s="24" t="n">
        <x:v>94</x:v>
      </x:c>
      <x:c r="C503" s="24" t="n">
        <x:v>0</x:v>
      </x:c>
      <x:c r="D503" s="26" t="n">
        <x:v>0</x:v>
      </x:c>
      <x:c r="E503" s="24" t="n">
        <x:f>B503-C503</x:f>
        <x:v>94</x:v>
      </x:c>
      <x:c r="F503" s="25" t="n">
        <x:f>C503/B503</x:f>
        <x:v>0</x:v>
      </x:c>
      <x:c r="G503" s="23" t="str">
        <x:f>IF(B503&gt;$B$5,"Yes","No")</x:f>
        <x:v>Yes</x:v>
      </x:c>
      <x:c r="H503" s="23" t="str">
        <x:f>IF(F503&gt;$B$4,"Yes","No")</x:f>
        <x:v>No</x:v>
      </x:c>
      <x:c r="I503" s="23" t="str">
        <x:f>IF(AND(G503="Yes",H503="Yes"),"Top-right","Other")</x:f>
        <x:v>Other</x:v>
      </x:c>
    </x:row>
    <x:row r="504">
      <x:c r="A504" s="23" t="str">
        <x:v>Hilpert-Conroy</x:v>
      </x:c>
      <x:c r="B504" s="24" t="n">
        <x:v>95</x:v>
      </x:c>
      <x:c r="C504" s="24" t="n">
        <x:v>0</x:v>
      </x:c>
      <x:c r="D504" s="26" t="n">
        <x:v>0</x:v>
      </x:c>
      <x:c r="E504" s="24" t="n">
        <x:f>B504-C504</x:f>
        <x:v>95</x:v>
      </x:c>
      <x:c r="F504" s="25" t="n">
        <x:f>C504/B504</x:f>
        <x:v>0</x:v>
      </x:c>
      <x:c r="G504" s="23" t="str">
        <x:f>IF(B504&gt;$B$5,"Yes","No")</x:f>
        <x:v>Yes</x:v>
      </x:c>
      <x:c r="H504" s="23" t="str">
        <x:f>IF(F504&gt;$B$4,"Yes","No")</x:f>
        <x:v>No</x:v>
      </x:c>
      <x:c r="I504" s="23" t="str">
        <x:f>IF(AND(G504="Yes",H504="Yes"),"Top-right","Other")</x:f>
        <x:v>Other</x:v>
      </x:c>
    </x:row>
    <x:row r="505">
      <x:c r="A505" s="23" t="str">
        <x:v>McDermott, Osinski and Morar</x:v>
      </x:c>
      <x:c r="B505" s="24" t="n">
        <x:v>95</x:v>
      </x:c>
      <x:c r="C505" s="24" t="n">
        <x:v>0</x:v>
      </x:c>
      <x:c r="D505" s="26" t="n">
        <x:v>0</x:v>
      </x:c>
      <x:c r="E505" s="24" t="n">
        <x:f>B505-C505</x:f>
        <x:v>95</x:v>
      </x:c>
      <x:c r="F505" s="25" t="n">
        <x:f>C505/B505</x:f>
        <x:v>0</x:v>
      </x:c>
      <x:c r="G505" s="23" t="str">
        <x:f>IF(B505&gt;$B$5,"Yes","No")</x:f>
        <x:v>Yes</x:v>
      </x:c>
      <x:c r="H505" s="23" t="str">
        <x:f>IF(F505&gt;$B$4,"Yes","No")</x:f>
        <x:v>No</x:v>
      </x:c>
      <x:c r="I505" s="23" t="str">
        <x:f>IF(AND(G505="Yes",H505="Yes"),"Top-right","Other")</x:f>
        <x:v>Other</x:v>
      </x:c>
    </x:row>
    <x:row r="506">
      <x:c r="A506" s="23" t="str">
        <x:v>Boyer PLC</x:v>
      </x:c>
      <x:c r="B506" s="24" t="n">
        <x:v>96</x:v>
      </x:c>
      <x:c r="C506" s="24" t="n">
        <x:v>2</x:v>
      </x:c>
      <x:c r="D506" s="26" t="n">
        <x:v>891.4300000000001</x:v>
      </x:c>
      <x:c r="E506" s="24" t="n">
        <x:f>B506-C506</x:f>
        <x:v>94</x:v>
      </x:c>
      <x:c r="F506" s="25" t="n">
        <x:f>C506/B506</x:f>
        <x:v>0.020833333333333332</x:v>
      </x:c>
      <x:c r="G506" s="23" t="str">
        <x:f>IF(B506&gt;$B$5,"Yes","No")</x:f>
        <x:v>Yes</x:v>
      </x:c>
      <x:c r="H506" s="23" t="str">
        <x:f>IF(F506&gt;$B$4,"Yes","No")</x:f>
        <x:v>Yes</x:v>
      </x:c>
      <x:c r="I506" s="23" t="str">
        <x:f>IF(AND(G506="Yes",H506="Yes"),"Top-right","Other")</x:f>
        <x:v>Top-right</x:v>
      </x:c>
    </x:row>
    <x:row r="507">
      <x:c r="A507" s="23" t="str">
        <x:v>Osinski, Ledner and Leuschke</x:v>
      </x:c>
      <x:c r="B507" s="24" t="n">
        <x:v>96</x:v>
      </x:c>
      <x:c r="C507" s="24" t="n">
        <x:v>0</x:v>
      </x:c>
      <x:c r="D507" s="26" t="n">
        <x:v>0</x:v>
      </x:c>
      <x:c r="E507" s="24" t="n">
        <x:f>B507-C507</x:f>
        <x:v>96</x:v>
      </x:c>
      <x:c r="F507" s="25" t="n">
        <x:f>C507/B507</x:f>
        <x:v>0</x:v>
      </x:c>
      <x:c r="G507" s="23" t="str">
        <x:f>IF(B507&gt;$B$5,"Yes","No")</x:f>
        <x:v>Yes</x:v>
      </x:c>
      <x:c r="H507" s="23" t="str">
        <x:f>IF(F507&gt;$B$4,"Yes","No")</x:f>
        <x:v>No</x:v>
      </x:c>
      <x:c r="I507" s="23" t="str">
        <x:f>IF(AND(G507="Yes",H507="Yes"),"Top-right","Other")</x:f>
        <x:v>Other</x:v>
      </x:c>
    </x:row>
    <x:row r="508">
      <x:c r="A508" s="23" t="str">
        <x:v>Terry Ltd</x:v>
      </x:c>
      <x:c r="B508" s="24" t="n">
        <x:v>96</x:v>
      </x:c>
      <x:c r="C508" s="24" t="n">
        <x:v>0</x:v>
      </x:c>
      <x:c r="D508" s="26" t="n">
        <x:v>0</x:v>
      </x:c>
      <x:c r="E508" s="24" t="n">
        <x:f>B508-C508</x:f>
        <x:v>96</x:v>
      </x:c>
      <x:c r="F508" s="25" t="n">
        <x:f>C508/B508</x:f>
        <x:v>0</x:v>
      </x:c>
      <x:c r="G508" s="23" t="str">
        <x:f>IF(B508&gt;$B$5,"Yes","No")</x:f>
        <x:v>Yes</x:v>
      </x:c>
      <x:c r="H508" s="23" t="str">
        <x:f>IF(F508&gt;$B$4,"Yes","No")</x:f>
        <x:v>No</x:v>
      </x:c>
      <x:c r="I508" s="23" t="str">
        <x:f>IF(AND(G508="Yes",H508="Yes"),"Top-right","Other")</x:f>
        <x:v>Other</x:v>
      </x:c>
    </x:row>
    <x:row r="509">
      <x:c r="A509" s="23" t="str">
        <x:v>Koss and Sons</x:v>
      </x:c>
      <x:c r="B509" s="24" t="n">
        <x:v>97</x:v>
      </x:c>
      <x:c r="C509" s="24" t="n">
        <x:v>1</x:v>
      </x:c>
      <x:c r="D509" s="26" t="n">
        <x:v>9.22</x:v>
      </x:c>
      <x:c r="E509" s="24" t="n">
        <x:f>B509-C509</x:f>
        <x:v>96</x:v>
      </x:c>
      <x:c r="F509" s="25" t="n">
        <x:f>C509/B509</x:f>
        <x:v>0.010309278350515464</x:v>
      </x:c>
      <x:c r="G509" s="23" t="str">
        <x:f>IF(B509&gt;$B$5,"Yes","No")</x:f>
        <x:v>Yes</x:v>
      </x:c>
      <x:c r="H509" s="23" t="str">
        <x:f>IF(F509&gt;$B$4,"Yes","No")</x:f>
        <x:v>Yes</x:v>
      </x:c>
      <x:c r="I509" s="23" t="str">
        <x:f>IF(AND(G509="Yes",H509="Yes"),"Top-right","Other")</x:f>
        <x:v>Top-right</x:v>
      </x:c>
    </x:row>
    <x:row r="510">
      <x:c r="A510" s="23" t="str">
        <x:v>Quitzon-Goyette</x:v>
      </x:c>
      <x:c r="B510" s="24" t="n">
        <x:v>97</x:v>
      </x:c>
      <x:c r="C510" s="24" t="n">
        <x:v>0</x:v>
      </x:c>
      <x:c r="D510" s="26" t="n">
        <x:v>0</x:v>
      </x:c>
      <x:c r="E510" s="24" t="n">
        <x:f>B510-C510</x:f>
        <x:v>97</x:v>
      </x:c>
      <x:c r="F510" s="25" t="n">
        <x:f>C510/B510</x:f>
        <x:v>0</x:v>
      </x:c>
      <x:c r="G510" s="23" t="str">
        <x:f>IF(B510&gt;$B$5,"Yes","No")</x:f>
        <x:v>Yes</x:v>
      </x:c>
      <x:c r="H510" s="23" t="str">
        <x:f>IF(F510&gt;$B$4,"Yes","No")</x:f>
        <x:v>No</x:v>
      </x:c>
      <x:c r="I510" s="23" t="str">
        <x:f>IF(AND(G510="Yes",H510="Yes"),"Top-right","Other")</x:f>
        <x:v>Other</x:v>
      </x:c>
    </x:row>
    <x:row r="511">
      <x:c r="A511" s="23" t="str">
        <x:v>Kling Inc</x:v>
      </x:c>
      <x:c r="B511" s="24" t="n">
        <x:v>98</x:v>
      </x:c>
      <x:c r="C511" s="24" t="n">
        <x:v>0</x:v>
      </x:c>
      <x:c r="D511" s="26" t="n">
        <x:v>0</x:v>
      </x:c>
      <x:c r="E511" s="24" t="n">
        <x:f>B511-C511</x:f>
        <x:v>98</x:v>
      </x:c>
      <x:c r="F511" s="25" t="n">
        <x:f>C511/B511</x:f>
        <x:v>0</x:v>
      </x:c>
      <x:c r="G511" s="23" t="str">
        <x:f>IF(B511&gt;$B$5,"Yes","No")</x:f>
        <x:v>Yes</x:v>
      </x:c>
      <x:c r="H511" s="23" t="str">
        <x:f>IF(F511&gt;$B$4,"Yes","No")</x:f>
        <x:v>No</x:v>
      </x:c>
      <x:c r="I511" s="23" t="str">
        <x:f>IF(AND(G511="Yes",H511="Yes"),"Top-right","Other")</x:f>
        <x:v>Other</x:v>
      </x:c>
    </x:row>
    <x:row r="512">
      <x:c r="A512" s="23" t="str">
        <x:v>Kovacek, Dibbert and Ondricka</x:v>
      </x:c>
      <x:c r="B512" s="24" t="n">
        <x:v>98</x:v>
      </x:c>
      <x:c r="C512" s="24" t="n">
        <x:v>0</x:v>
      </x:c>
      <x:c r="D512" s="26" t="n">
        <x:v>0</x:v>
      </x:c>
      <x:c r="E512" s="24" t="n">
        <x:f>B512-C512</x:f>
        <x:v>98</x:v>
      </x:c>
      <x:c r="F512" s="25" t="n">
        <x:f>C512/B512</x:f>
        <x:v>0</x:v>
      </x:c>
      <x:c r="G512" s="23" t="str">
        <x:f>IF(B512&gt;$B$5,"Yes","No")</x:f>
        <x:v>Yes</x:v>
      </x:c>
      <x:c r="H512" s="23" t="str">
        <x:f>IF(F512&gt;$B$4,"Yes","No")</x:f>
        <x:v>No</x:v>
      </x:c>
      <x:c r="I512" s="23" t="str">
        <x:f>IF(AND(G512="Yes",H512="Yes"),"Top-right","Other")</x:f>
        <x:v>Other</x:v>
      </x:c>
    </x:row>
    <x:row r="513">
      <x:c r="A513" s="23" t="str">
        <x:v>Brekke and Sons</x:v>
      </x:c>
      <x:c r="B513" s="24" t="n">
        <x:v>99</x:v>
      </x:c>
      <x:c r="C513" s="24" t="n">
        <x:v>1</x:v>
      </x:c>
      <x:c r="D513" s="26" t="n">
        <x:v>8.27</x:v>
      </x:c>
      <x:c r="E513" s="24" t="n">
        <x:f>B513-C513</x:f>
        <x:v>98</x:v>
      </x:c>
      <x:c r="F513" s="25" t="n">
        <x:f>C513/B513</x:f>
        <x:v>0.010101010101010102</x:v>
      </x:c>
      <x:c r="G513" s="23" t="str">
        <x:f>IF(B513&gt;$B$5,"Yes","No")</x:f>
        <x:v>Yes</x:v>
      </x:c>
      <x:c r="H513" s="23" t="str">
        <x:f>IF(F513&gt;$B$4,"Yes","No")</x:f>
        <x:v>Yes</x:v>
      </x:c>
      <x:c r="I513" s="23" t="str">
        <x:f>IF(AND(G513="Yes",H513="Yes"),"Top-right","Other")</x:f>
        <x:v>Top-right</x:v>
      </x:c>
    </x:row>
    <x:row r="514">
      <x:c r="A514" s="23" t="str">
        <x:v>Eichmann-Kilback</x:v>
      </x:c>
      <x:c r="B514" s="24" t="n">
        <x:v>99</x:v>
      </x:c>
      <x:c r="C514" s="24" t="n">
        <x:v>0</x:v>
      </x:c>
      <x:c r="D514" s="26" t="n">
        <x:v>0</x:v>
      </x:c>
      <x:c r="E514" s="24" t="n">
        <x:f>B514-C514</x:f>
        <x:v>99</x:v>
      </x:c>
      <x:c r="F514" s="25" t="n">
        <x:f>C514/B514</x:f>
        <x:v>0</x:v>
      </x:c>
      <x:c r="G514" s="23" t="str">
        <x:f>IF(B514&gt;$B$5,"Yes","No")</x:f>
        <x:v>Yes</x:v>
      </x:c>
      <x:c r="H514" s="23" t="str">
        <x:f>IF(F514&gt;$B$4,"Yes","No")</x:f>
        <x:v>No</x:v>
      </x:c>
      <x:c r="I514" s="23" t="str">
        <x:f>IF(AND(G514="Yes",H514="Yes"),"Top-right","Other")</x:f>
        <x:v>Other</x:v>
      </x:c>
    </x:row>
    <x:row r="515">
      <x:c r="A515" s="23" t="str">
        <x:v>Willms, Kris and Bergnaum</x:v>
      </x:c>
      <x:c r="B515" s="24" t="n">
        <x:v>99</x:v>
      </x:c>
      <x:c r="C515" s="24" t="n">
        <x:v>0</x:v>
      </x:c>
      <x:c r="D515" s="26" t="n">
        <x:v>0</x:v>
      </x:c>
      <x:c r="E515" s="24" t="n">
        <x:f>B515-C515</x:f>
        <x:v>99</x:v>
      </x:c>
      <x:c r="F515" s="25" t="n">
        <x:f>C515/B515</x:f>
        <x:v>0</x:v>
      </x:c>
      <x:c r="G515" s="23" t="str">
        <x:f>IF(B515&gt;$B$5,"Yes","No")</x:f>
        <x:v>Yes</x:v>
      </x:c>
      <x:c r="H515" s="23" t="str">
        <x:f>IF(F515&gt;$B$4,"Yes","No")</x:f>
        <x:v>No</x:v>
      </x:c>
      <x:c r="I515" s="23" t="str">
        <x:f>IF(AND(G515="Yes",H515="Yes"),"Top-right","Other")</x:f>
        <x:v>Other</x:v>
      </x:c>
    </x:row>
    <x:row r="516">
      <x:c r="A516" s="23" t="str">
        <x:v>Greenholt, Jacobi and Gleason</x:v>
      </x:c>
      <x:c r="B516" s="24" t="n">
        <x:v>100</x:v>
      </x:c>
      <x:c r="C516" s="24" t="n">
        <x:v>1</x:v>
      </x:c>
      <x:c r="D516" s="26" t="n">
        <x:v>22.98</x:v>
      </x:c>
      <x:c r="E516" s="24" t="n">
        <x:f>B516-C516</x:f>
        <x:v>99</x:v>
      </x:c>
      <x:c r="F516" s="25" t="n">
        <x:f>C516/B516</x:f>
        <x:v>0.01</x:v>
      </x:c>
      <x:c r="G516" s="23" t="str">
        <x:f>IF(B516&gt;$B$5,"Yes","No")</x:f>
        <x:v>Yes</x:v>
      </x:c>
      <x:c r="H516" s="23" t="str">
        <x:f>IF(F516&gt;$B$4,"Yes","No")</x:f>
        <x:v>Yes</x:v>
      </x:c>
      <x:c r="I516" s="23" t="str">
        <x:f>IF(AND(G516="Yes",H516="Yes"),"Top-right","Other")</x:f>
        <x:v>Top-right</x:v>
      </x:c>
    </x:row>
    <x:row r="517">
      <x:c r="A517" s="23" t="str">
        <x:v>O'Reilly, Mohr and Purdy</x:v>
      </x:c>
      <x:c r="B517" s="24" t="n">
        <x:v>100</x:v>
      </x:c>
      <x:c r="C517" s="24" t="n">
        <x:v>0</x:v>
      </x:c>
      <x:c r="D517" s="26" t="n">
        <x:v>0</x:v>
      </x:c>
      <x:c r="E517" s="24" t="n">
        <x:f>B517-C517</x:f>
        <x:v>100</x:v>
      </x:c>
      <x:c r="F517" s="25" t="n">
        <x:f>C517/B517</x:f>
        <x:v>0</x:v>
      </x:c>
      <x:c r="G517" s="23" t="str">
        <x:f>IF(B517&gt;$B$5,"Yes","No")</x:f>
        <x:v>Yes</x:v>
      </x:c>
      <x:c r="H517" s="23" t="str">
        <x:f>IF(F517&gt;$B$4,"Yes","No")</x:f>
        <x:v>No</x:v>
      </x:c>
      <x:c r="I517" s="23" t="str">
        <x:f>IF(AND(G517="Yes",H517="Yes"),"Top-right","Other")</x:f>
        <x:v>Other</x:v>
      </x:c>
    </x:row>
    <x:row r="518">
      <x:c r="A518" s="23" t="str">
        <x:v>Dickinson Ltd</x:v>
      </x:c>
      <x:c r="B518" s="24" t="n">
        <x:v>101</x:v>
      </x:c>
      <x:c r="C518" s="24" t="n">
        <x:v>0</x:v>
      </x:c>
      <x:c r="D518" s="26" t="n">
        <x:v>0</x:v>
      </x:c>
      <x:c r="E518" s="24" t="n">
        <x:f>B518-C518</x:f>
        <x:v>101</x:v>
      </x:c>
      <x:c r="F518" s="25" t="n">
        <x:f>C518/B518</x:f>
        <x:v>0</x:v>
      </x:c>
      <x:c r="G518" s="23" t="str">
        <x:f>IF(B518&gt;$B$5,"Yes","No")</x:f>
        <x:v>Yes</x:v>
      </x:c>
      <x:c r="H518" s="23" t="str">
        <x:f>IF(F518&gt;$B$4,"Yes","No")</x:f>
        <x:v>No</x:v>
      </x:c>
      <x:c r="I518" s="23" t="str">
        <x:f>IF(AND(G518="Yes",H518="Yes"),"Top-right","Other")</x:f>
        <x:v>Other</x:v>
      </x:c>
    </x:row>
    <x:row r="519">
      <x:c r="A519" s="23" t="str">
        <x:v>Stroman, Hudson and Erdman</x:v>
      </x:c>
      <x:c r="B519" s="24" t="n">
        <x:v>101</x:v>
      </x:c>
      <x:c r="C519" s="24" t="n">
        <x:v>0</x:v>
      </x:c>
      <x:c r="D519" s="26" t="n">
        <x:v>0</x:v>
      </x:c>
      <x:c r="E519" s="24" t="n">
        <x:f>B519-C519</x:f>
        <x:v>101</x:v>
      </x:c>
      <x:c r="F519" s="25" t="n">
        <x:f>C519/B519</x:f>
        <x:v>0</x:v>
      </x:c>
      <x:c r="G519" s="23" t="str">
        <x:f>IF(B519&gt;$B$5,"Yes","No")</x:f>
        <x:v>Yes</x:v>
      </x:c>
      <x:c r="H519" s="23" t="str">
        <x:f>IF(F519&gt;$B$4,"Yes","No")</x:f>
        <x:v>No</x:v>
      </x:c>
      <x:c r="I519" s="23" t="str">
        <x:f>IF(AND(G519="Yes",H519="Yes"),"Top-right","Other")</x:f>
        <x:v>Other</x:v>
      </x:c>
    </x:row>
    <x:row r="520">
      <x:c r="A520" s="23" t="str">
        <x:v>Christiansen, Goyette and Schamberger</x:v>
      </x:c>
      <x:c r="B520" s="24" t="n">
        <x:v>107</x:v>
      </x:c>
      <x:c r="C520" s="24" t="n">
        <x:v>1</x:v>
      </x:c>
      <x:c r="D520" s="26" t="n">
        <x:v>17.86</x:v>
      </x:c>
      <x:c r="E520" s="24" t="n">
        <x:f>B520-C520</x:f>
        <x:v>106</x:v>
      </x:c>
      <x:c r="F520" s="25" t="n">
        <x:f>C520/B520</x:f>
        <x:v>0.009345794392523364</x:v>
      </x:c>
      <x:c r="G520" s="23" t="str">
        <x:f>IF(B520&gt;$B$5,"Yes","No")</x:f>
        <x:v>Yes</x:v>
      </x:c>
      <x:c r="H520" s="23" t="str">
        <x:f>IF(F520&gt;$B$4,"Yes","No")</x:f>
        <x:v>Yes</x:v>
      </x:c>
      <x:c r="I520" s="23" t="str">
        <x:f>IF(AND(G520="Yes",H520="Yes"),"Top-right","Other")</x:f>
        <x:v>Top-right</x:v>
      </x:c>
    </x:row>
    <x:row r="521">
      <x:c r="A521" s="23" t="str">
        <x:v>Hackett-Lueilwitz</x:v>
      </x:c>
      <x:c r="B521" s="24" t="n">
        <x:v>107</x:v>
      </x:c>
      <x:c r="C521" s="24" t="n">
        <x:v>2</x:v>
      </x:c>
      <x:c r="D521" s="26" t="n">
        <x:v>595.22</x:v>
      </x:c>
      <x:c r="E521" s="24" t="n">
        <x:f>B521-C521</x:f>
        <x:v>105</x:v>
      </x:c>
      <x:c r="F521" s="25" t="n">
        <x:f>C521/B521</x:f>
        <x:v>0.018691588785046728</x:v>
      </x:c>
      <x:c r="G521" s="23" t="str">
        <x:f>IF(B521&gt;$B$5,"Yes","No")</x:f>
        <x:v>Yes</x:v>
      </x:c>
      <x:c r="H521" s="23" t="str">
        <x:f>IF(F521&gt;$B$4,"Yes","No")</x:f>
        <x:v>Yes</x:v>
      </x:c>
      <x:c r="I521" s="23" t="str">
        <x:f>IF(AND(G521="Yes",H521="Yes"),"Top-right","Other")</x:f>
        <x:v>Top-right</x:v>
      </x:c>
    </x:row>
    <x:row r="522">
      <x:c r="A522" s="23" t="str">
        <x:v>Schumm PLC</x:v>
      </x:c>
      <x:c r="B522" s="24" t="n">
        <x:v>110</x:v>
      </x:c>
      <x:c r="C522" s="24" t="n">
        <x:v>3</x:v>
      </x:c>
      <x:c r="D522" s="26" t="n">
        <x:v>3018.58</x:v>
      </x:c>
      <x:c r="E522" s="24" t="n">
        <x:f>B522-C522</x:f>
        <x:v>107</x:v>
      </x:c>
      <x:c r="F522" s="25" t="n">
        <x:f>C522/B522</x:f>
        <x:v>0.02727272727272727</x:v>
      </x:c>
      <x:c r="G522" s="23" t="str">
        <x:f>IF(B522&gt;$B$5,"Yes","No")</x:f>
        <x:v>Yes</x:v>
      </x:c>
      <x:c r="H522" s="23" t="str">
        <x:f>IF(F522&gt;$B$4,"Yes","No")</x:f>
        <x:v>Yes</x:v>
      </x:c>
      <x:c r="I522" s="23" t="str">
        <x:f>IF(AND(G522="Yes",H522="Yes"),"Top-right","Other")</x:f>
        <x:v>Top-right</x:v>
      </x:c>
    </x:row>
    <x:row r="523">
      <x:c r="A523" s="23" t="str">
        <x:v>Kuhn LLC</x:v>
      </x:c>
      <x:c r="B523" s="24" t="n">
        <x:v>113</x:v>
      </x:c>
      <x:c r="C523" s="24" t="n">
        <x:v>3</x:v>
      </x:c>
      <x:c r="D523" s="26" t="n">
        <x:v>2353.54</x:v>
      </x:c>
      <x:c r="E523" s="24" t="n">
        <x:f>B523-C523</x:f>
        <x:v>110</x:v>
      </x:c>
      <x:c r="F523" s="25" t="n">
        <x:f>C523/B523</x:f>
        <x:v>0.02654867256637168</x:v>
      </x:c>
      <x:c r="G523" s="23" t="str">
        <x:f>IF(B523&gt;$B$5,"Yes","No")</x:f>
        <x:v>Yes</x:v>
      </x:c>
      <x:c r="H523" s="23" t="str">
        <x:f>IF(F523&gt;$B$4,"Yes","No")</x:f>
        <x:v>Yes</x:v>
      </x:c>
      <x:c r="I523" s="23" t="str">
        <x:f>IF(AND(G523="Yes",H523="Yes"),"Top-right","Other")</x:f>
        <x:v>Top-right</x:v>
      </x:c>
    </x:row>
    <x:row r="524">
      <x:c r="A524" s="23" t="str">
        <x:v>Reilly, Heaney and Cole</x:v>
      </x:c>
      <x:c r="B524" s="24" t="n">
        <x:v>113</x:v>
      </x:c>
      <x:c r="C524" s="24" t="n">
        <x:v>0</x:v>
      </x:c>
      <x:c r="D524" s="26" t="n">
        <x:v>0</x:v>
      </x:c>
      <x:c r="E524" s="24" t="n">
        <x:f>B524-C524</x:f>
        <x:v>113</x:v>
      </x:c>
      <x:c r="F524" s="25" t="n">
        <x:f>C524/B524</x:f>
        <x:v>0</x:v>
      </x:c>
      <x:c r="G524" s="23" t="str">
        <x:f>IF(B524&gt;$B$5,"Yes","No")</x:f>
        <x:v>Yes</x:v>
      </x:c>
      <x:c r="H524" s="23" t="str">
        <x:f>IF(F524&gt;$B$4,"Yes","No")</x:f>
        <x:v>No</x:v>
      </x:c>
      <x:c r="I524" s="23" t="str">
        <x:f>IF(AND(G524="Yes",H524="Yes"),"Top-right","Other")</x:f>
        <x:v>Other</x:v>
      </x:c>
    </x:row>
    <x:row r="525">
      <x:c r="A525" s="23" t="str">
        <x:v>Mraz-Herzog</x:v>
      </x:c>
      <x:c r="B525" s="24" t="n">
        <x:v>114</x:v>
      </x:c>
      <x:c r="C525" s="24" t="n">
        <x:v>0</x:v>
      </x:c>
      <x:c r="D525" s="26" t="n">
        <x:v>0</x:v>
      </x:c>
      <x:c r="E525" s="24" t="n">
        <x:f>B525-C525</x:f>
        <x:v>114</x:v>
      </x:c>
      <x:c r="F525" s="25" t="n">
        <x:f>C525/B525</x:f>
        <x:v>0</x:v>
      </x:c>
      <x:c r="G525" s="23" t="str">
        <x:f>IF(B525&gt;$B$5,"Yes","No")</x:f>
        <x:v>Yes</x:v>
      </x:c>
      <x:c r="H525" s="23" t="str">
        <x:f>IF(F525&gt;$B$4,"Yes","No")</x:f>
        <x:v>No</x:v>
      </x:c>
      <x:c r="I525" s="23" t="str">
        <x:f>IF(AND(G525="Yes",H525="Yes"),"Top-right","Other")</x:f>
        <x:v>Other</x:v>
      </x:c>
    </x:row>
    <x:row r="526">
      <x:c r="A526" s="23" t="str">
        <x:v>Cormier LLC</x:v>
      </x:c>
      <x:c r="B526" s="24" t="n">
        <x:v>124</x:v>
      </x:c>
      <x:c r="C526" s="24" t="n">
        <x:v>1</x:v>
      </x:c>
      <x:c r="D526" s="26" t="n">
        <x:v>974.87</x:v>
      </x:c>
      <x:c r="E526" s="24" t="n">
        <x:f>B526-C526</x:f>
        <x:v>123</x:v>
      </x:c>
      <x:c r="F526" s="25" t="n">
        <x:f>C526/B526</x:f>
        <x:v>0.008064516129032258</x:v>
      </x:c>
      <x:c r="G526" s="23" t="str">
        <x:f>IF(B526&gt;$B$5,"Yes","No")</x:f>
        <x:v>Yes</x:v>
      </x:c>
      <x:c r="H526" s="23" t="str">
        <x:f>IF(F526&gt;$B$4,"Yes","No")</x:f>
        <x:v>Yes</x:v>
      </x:c>
      <x:c r="I526" s="23" t="str">
        <x:f>IF(AND(G526="Yes",H526="Yes"),"Top-right","Other")</x:f>
        <x:v>Top-right</x:v>
      </x:c>
    </x:row>
    <x:row r="527">
      <x:c r="A527" s="23" t="str">
        <x:v>Kilback LLC</x:v>
      </x:c>
      <x:c r="B527" s="24" t="n">
        <x:v>158</x:v>
      </x:c>
      <x:c r="C527" s="24" t="n">
        <x:v>2</x:v>
      </x:c>
      <x:c r="D527" s="26" t="n">
        <x:v>440.63</x:v>
      </x:c>
      <x:c r="E527" s="24" t="n">
        <x:f>B527-C527</x:f>
        <x:v>156</x:v>
      </x:c>
      <x:c r="F527" s="25" t="n">
        <x:f>C527/B527</x:f>
        <x:v>0.012658227848101266</x:v>
      </x:c>
      <x:c r="G527" s="23" t="str">
        <x:f>IF(B527&gt;$B$5,"Yes","No")</x:f>
        <x:v>Yes</x:v>
      </x:c>
      <x:c r="H527" s="23" t="str">
        <x:f>IF(F527&gt;$B$4,"Yes","No")</x:f>
        <x:v>Yes</x:v>
      </x:c>
      <x:c r="I527" s="23" t="str">
        <x:f>IF(AND(G527="Yes",H527="Yes"),"Top-right","Other")</x:f>
        <x:v>Top-right</x:v>
      </x:c>
    </x:row>
  </x:sheetData>
  <x:mergeCells>
    <x:mergeCell ref="A1:H1"/>
    <x:mergeCell ref="D3:H3"/>
    <x:mergeCell ref="D4:H9"/>
  </x:mergeCells>
  <x:conditionalFormatting sqref="I12:I527">
    <x:cfRule type="containsText" dxfId="4" priority="1" operator="containsText" text="Top-right"/>
  </x:conditionalFormatting>
  <x:pageMargins left="0.7" right="0.7" top="0.75" bottom="0.75" header="0.3" footer="0.3"/>
</x:worksheet>
</file>

<file path=xl/worksheets/sheet9.xml><?xml version="1.0" encoding="utf-8"?>
<x:worksheet xmlns:x="http://schemas.openxmlformats.org/spreadsheetml/2006/main">
  <x:sheetViews>
    <x:sheetView showGridLines="0" workbookViewId="0"/>
  </x:sheetViews>
  <x:sheetFormatPr defaultRowHeight="15"/>
  <x:cols>
    <x:col min="1" max="1" width="29" hidden="0" customWidth="1"/>
    <x:col min="2" max="2" width="95" hidden="0" customWidth="1"/>
  </x:cols>
  <x:sheetData>
    <x:row r="1" ht="30" customHeight="1">
      <x:c r="A1" s="3" t="str">
        <x:v>Source &amp; Definitions</x:v>
      </x:c>
      <x:c r="B1" s="3"/>
      <x:c r="C1" s="3"/>
      <x:c r="D1" s="3"/>
      <x:c r="E1" s="3"/>
      <x:c r="F1" s="3"/>
      <x:c r="G1" s="3"/>
      <x:c r="H1" s="3"/>
    </x:row>
    <x:row r="3">
      <x:c r="A3" s="29" t="str">
        <x:v>Source CSV</x:v>
      </x:c>
      <x:c r="B3" s="33" t="str">
        <x:v>cc_data_dec19.csv</x:v>
      </x:c>
    </x:row>
    <x:row r="4">
      <x:c r="A4" s="55" t="str">
        <x:v>Dataset scope</x:v>
      </x:c>
      <x:c r="B4" s="35" t="str">
        <x:v>42,308 transactions, 1–31 December 2019</x:v>
      </x:c>
    </x:row>
    <x:row r="5">
      <x:c r="A5" s="55" t="str">
        <x:v>Fraud transaction</x:v>
      </x:c>
      <x:c r="B5" s="35" t="str">
        <x:v>A row where is_fraud = 1</x:v>
      </x:c>
    </x:row>
    <x:row r="6">
      <x:c r="A6" s="55" t="str">
        <x:v>Fraud rate</x:v>
      </x:c>
      <x:c r="B6" s="35" t="str">
        <x:v>Fraud transactions ÷ all transactions in the relevant group</x:v>
      </x:c>
    </x:row>
    <x:row r="7">
      <x:c r="A7" s="55" t="str">
        <x:v>Fraud-labelled amount</x:v>
      </x:c>
      <x:c r="B7" s="35" t="str">
        <x:v>Sum of amt for rows where is_fraud = 1</x:v>
      </x:c>
    </x:row>
    <x:row r="8">
      <x:c r="A8" s="55" t="str">
        <x:v>Late-night window</x:v>
      </x:c>
      <x:c r="B8" s="35" t="str">
        <x:v>Hours 22:00, 23:00, 00:00, 01:00, 02:00 and 03:00</x:v>
      </x:c>
    </x:row>
    <x:row r="9">
      <x:c r="A9" s="55" t="str">
        <x:v>Eligible merchant</x:v>
      </x:c>
      <x:c r="B9" s="35" t="str">
        <x:v>Merchant with at least 50 transactions</x:v>
      </x:c>
    </x:row>
    <x:row r="10">
      <x:c r="A10" s="55" t="str">
        <x:v>Median merchant volume</x:v>
      </x:c>
      <x:c r="B10" s="35" t="str">
        <x:v>Median calculated after the eligibility filter is applied</x:v>
      </x:c>
    </x:row>
    <x:row r="11">
      <x:c r="A11" s="55"/>
      <x:c r="B11" s="35"/>
    </x:row>
    <x:row r="12">
      <x:c r="A12"/>
      <x:c r="B12"/>
    </x:row>
    <x:row r="15">
      <x:c r="A15" s="56" t="str">
        <x:v>Workbook purpose</x:v>
      </x:c>
      <x:c r="B15" t="str">
        <x:v>Calculation audit trail for dashboard verification</x:v>
      </x:c>
    </x:row>
    <x:row r="16">
      <x:c r="A16" s="56" t="str">
        <x:v>Project changes made</x:v>
      </x:c>
      <x:c r="B16" t="str">
        <x:v>None — workbook supplied for approval first</x:v>
      </x:c>
    </x:row>
    <x:row r="17">
      <x:c r="A17" s="56" t="str">
        <x:v>Prepared on</x:v>
      </x:c>
      <x:c r="B17" t="str">
        <x:v>2026-07-27</x:v>
      </x:c>
    </x:row>
    <x:row r="18">
      <x:c r="A18" s="56" t="str">
        <x:v>Prepared for</x:v>
      </x:c>
      <x:c r="B18" t="str">
        <x:v>Credit Card Fraud Analytics BA portfolio</x:v>
      </x:c>
    </x:row>
  </x:sheetData>
  <x:mergeCells>
    <x:mergeCell ref="A1:H1"/>
  </x:mergeCells>
  <x:pageMargins left="0.7" right="0.7" top="0.75" bottom="0.75" header="0.3" footer="0.3"/>
</x:worksheet>
</file>